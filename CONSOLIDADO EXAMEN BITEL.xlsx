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VENTAS BITEL FTTH\REPORTESS CLIENTE BITEL\REPORTE-CALIDAD-FTTH\"/>
    </mc:Choice>
  </mc:AlternateContent>
  <xr:revisionPtr revIDLastSave="0" documentId="8_{22A21703-198C-457E-8A62-44B76E5AEF94}" xr6:coauthVersionLast="47" xr6:coauthVersionMax="47" xr10:uidLastSave="{00000000-0000-0000-0000-000000000000}"/>
  <bookViews>
    <workbookView xWindow="-108" yWindow="-108" windowWidth="23256" windowHeight="12456" xr2:uid="{F16B7017-F6AB-4BAE-BDE7-1576FB28B8DA}"/>
  </bookViews>
  <sheets>
    <sheet name="Resultado_Examen_Calidad" sheetId="1" r:id="rId1"/>
    <sheet name="Dotacion" sheetId="2" r:id="rId2"/>
  </sheets>
  <definedNames>
    <definedName name="_xlnm._FilterDatabase" localSheetId="0" hidden="1">Resultado_Examen_Calidad!$A$1:$I$23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F20" i="1"/>
  <c r="H20" i="1"/>
  <c r="I20" i="1" a="1"/>
  <c r="I20" i="1" s="1"/>
  <c r="A20" i="1"/>
  <c r="F16" i="1"/>
  <c r="H16" i="1"/>
  <c r="I16" i="1" a="1"/>
  <c r="I16" i="1" s="1"/>
  <c r="A16" i="1"/>
  <c r="I15" i="1" a="1"/>
  <c r="I15" i="1" s="1"/>
  <c r="H15" i="1"/>
  <c r="F15" i="1"/>
  <c r="F19" i="1"/>
  <c r="H19" i="1"/>
  <c r="I19" i="1" a="1"/>
  <c r="I19" i="1" s="1"/>
  <c r="A19" i="1"/>
  <c r="A15" i="1"/>
  <c r="H23" i="1"/>
  <c r="H22" i="1"/>
  <c r="H21" i="1"/>
  <c r="H12" i="1"/>
  <c r="H11" i="1"/>
  <c r="H10" i="1"/>
  <c r="H9" i="1"/>
  <c r="H8" i="1"/>
  <c r="H7" i="1"/>
  <c r="H6" i="1"/>
  <c r="F23" i="1"/>
  <c r="I23" i="1" a="1"/>
  <c r="I23" i="1" s="1"/>
  <c r="A23" i="1"/>
  <c r="F22" i="1"/>
  <c r="I22" i="1" a="1"/>
  <c r="I22" i="1" s="1"/>
  <c r="A22" i="1"/>
  <c r="F21" i="1"/>
  <c r="I21" i="1" a="1"/>
  <c r="I21" i="1" s="1"/>
  <c r="A21" i="1"/>
  <c r="F14" i="1"/>
  <c r="H14" i="1"/>
  <c r="I14" i="1" a="1"/>
  <c r="I14" i="1" s="1"/>
  <c r="A14" i="1"/>
  <c r="I18" i="1" a="1"/>
  <c r="I18" i="1" s="1"/>
  <c r="H18" i="1"/>
  <c r="F18" i="1"/>
  <c r="F17" i="1"/>
  <c r="H17" i="1"/>
  <c r="I17" i="1" a="1"/>
  <c r="I17" i="1" s="1"/>
  <c r="A18" i="1"/>
  <c r="A17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H3" i="1"/>
  <c r="H4" i="1"/>
  <c r="H5" i="1"/>
  <c r="H13" i="1"/>
  <c r="F12" i="1"/>
  <c r="A12" i="1"/>
  <c r="F11" i="1"/>
  <c r="A11" i="1"/>
  <c r="F10" i="1"/>
  <c r="A10" i="1"/>
  <c r="F9" i="1"/>
  <c r="A9" i="1"/>
  <c r="F8" i="1"/>
  <c r="A8" i="1"/>
  <c r="A7" i="1"/>
  <c r="F7" i="1"/>
  <c r="F6" i="1" l="1"/>
  <c r="A6" i="1"/>
  <c r="F13" i="1"/>
  <c r="A13" i="1"/>
  <c r="I2" i="1" a="1"/>
  <c r="I2" i="1" s="1"/>
  <c r="H2" i="1"/>
  <c r="F5" i="1"/>
  <c r="A5" i="1"/>
  <c r="F3" i="1"/>
  <c r="F4" i="1"/>
  <c r="F2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<sst xmlns="http://schemas.openxmlformats.org/spreadsheetml/2006/main" count="92" uniqueCount="42">
  <si>
    <t xml:space="preserve">Mes </t>
  </si>
  <si>
    <t>Fecha</t>
  </si>
  <si>
    <t>Empleado</t>
  </si>
  <si>
    <t>Ranking</t>
  </si>
  <si>
    <t>Estado Puntaje</t>
  </si>
  <si>
    <t>Resultado</t>
  </si>
  <si>
    <t>Puntaje de Evaluacion</t>
  </si>
  <si>
    <t>ZIM_LUISPC_VTP</t>
  </si>
  <si>
    <t>ZIM_KARINASE_VTP</t>
  </si>
  <si>
    <t>ZIM_STEVENCM_VTP</t>
  </si>
  <si>
    <t>ZIM_ALVAROLC_VTP</t>
  </si>
  <si>
    <t>ZIM_NERYIU_VTP</t>
  </si>
  <si>
    <t>ZIM_MILAGROSMM_VTP</t>
  </si>
  <si>
    <t>ZIM_JESUSSZ_VTP</t>
  </si>
  <si>
    <t>ZIM_ZOILASM_VTP</t>
  </si>
  <si>
    <t>ZIM_ANTHONYJR_VTP</t>
  </si>
  <si>
    <t>ZIM_JULIOLD_VTP</t>
  </si>
  <si>
    <t>ZIM_ALEXISGK_VTP</t>
  </si>
  <si>
    <t>ZIM_INDIRAMM_VTP</t>
  </si>
  <si>
    <t>Tipo de Examen</t>
  </si>
  <si>
    <t>Producto</t>
  </si>
  <si>
    <t>Sistema</t>
  </si>
  <si>
    <t>Producto II</t>
  </si>
  <si>
    <t>Sistema II</t>
  </si>
  <si>
    <t xml:space="preserve"> Variaciòn_1</t>
  </si>
  <si>
    <t>ZIM_LAURAV_VTP</t>
  </si>
  <si>
    <t>FULL TIME (8 HORAS)</t>
  </si>
  <si>
    <t>ASESOR</t>
  </si>
  <si>
    <t>HORARIO</t>
  </si>
  <si>
    <t>OBJETIVO</t>
  </si>
  <si>
    <t>ZIM_LAURAVS_VTP</t>
  </si>
  <si>
    <t>08:00 A 16:00</t>
  </si>
  <si>
    <t>08:00 A 14:00</t>
  </si>
  <si>
    <t>ZIM_SANDRABV_VTP</t>
  </si>
  <si>
    <t>08:00 A 17:00</t>
  </si>
  <si>
    <t>ZIM_CARLACA_VTP</t>
  </si>
  <si>
    <t>08:00 A 18:00</t>
  </si>
  <si>
    <t>09:00 A 18:00</t>
  </si>
  <si>
    <t>08:00 A 12:00</t>
  </si>
  <si>
    <t>14:00 A 18:00</t>
  </si>
  <si>
    <t>Conocimiento I</t>
  </si>
  <si>
    <t>ZIM_HILDASG_VTP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</si>
</sst>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rgb="FFFFFFFF"/>
      <name val="Calibri"/>
      <family val="2"/>
    </font>
    <font>
      <sz val="8"/>
      <color rgb="FF434343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93B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BE0E-7338-409B-BC1B-70FA8ACCECA2}">
  <dimension ref="A1:I23"/>
  <sheetViews>
    <sheetView tabSelected="1" workbookViewId="0">
      <selection activeCell="E12" sqref="E12"/>
    </sheetView>
  </sheetViews>
  <sheetFormatPr baseColWidth="10" defaultRowHeight="14.4" x14ac:dyDescent="0.3"/>
  <cols>
    <col min="3" max="4" width="20.5546875" bestFit="1" customWidth="1"/>
    <col min="5" max="5" width="20.5546875" customWidth="1"/>
    <col min="6" max="6" width="14.109375" bestFit="1" customWidth="1"/>
    <col min="7" max="7" width="14.109375" customWidth="1"/>
    <col min="8" max="8" width="8" hidden="1" customWidth="1"/>
    <col min="9" max="9" width="0" hidden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</v>
      </c>
      <c r="E1" t="s">
        <v>19</v>
      </c>
      <c r="F1" t="s">
        <v>4</v>
      </c>
      <c r="G1" t="s">
        <v>5</v>
      </c>
      <c r="H1" t="s">
        <v>3</v>
      </c>
      <c r="I1" t="s">
        <v>24</v>
      </c>
    </row>
    <row r="2" spans="1:9" x14ac:dyDescent="0.3">
      <c r="A2" t="str">
        <f t="shared" ref="A2:A23" si="0">+TEXT(B2,"mmm")</f>
        <v>Mar</v>
      </c>
      <c r="B2" s="1">
        <v>46098</v>
      </c>
      <c r="C2" t="s">
        <v>7</v>
      </c>
      <c r="D2">
        <v>20</v>
      </c>
      <c r="E2" t="s">
        <v>20</v>
      </c>
      <c r="F2" t="str">
        <f>+IF(D2&gt;=18,"Alto",IF(D2&gt;15,"Medio","Bajo"))</f>
        <v>Alto</v>
      </c>
      <c r="G2" t="str">
        <f>+IF(D2&gt;=15,"Aprobado","Desaprobado")</f>
        <v>Aprobado</v>
      </c>
      <c r="H2">
        <f t="shared" ref="H2:H23" si="1">+_xlfn.RANK.EQ(D2,$D$2:$D$152,0)</f>
        <v>1</v>
      </c>
      <c r="I2" cm="1">
        <f t="array" ref="I2">D2 - _xlfn.XLOOKUP(1,(C$2:C$102=C2)*(B$2:B$102=_xlfn.MINIFS(B$2:B$102,C$2:C$102,C2)),D$2:D$102)</f>
        <v>0</v>
      </c>
    </row>
    <row r="3" spans="1:9" x14ac:dyDescent="0.3">
      <c r="A3" t="str">
        <f t="shared" si="0"/>
        <v>Mar</v>
      </c>
      <c r="B3" s="1">
        <v>46098</v>
      </c>
      <c r="C3" t="s">
        <v>7</v>
      </c>
      <c r="D3">
        <v>20</v>
      </c>
      <c r="E3" t="s">
        <v>21</v>
      </c>
      <c r="F3" t="str">
        <f t="shared" ref="F3:F12" si="2">+IF(D3&gt;=18,"Alto",IF(D3&gt;15,"Medio","Bajo"))</f>
        <v>Alto</v>
      </c>
      <c r="G3" t="str">
        <f t="shared" ref="G3:G23" si="3">+IF(D3&gt;=15,"Aprobado","Desaprobado")</f>
        <v>Aprobado</v>
      </c>
      <c r="H3">
        <f t="shared" si="1"/>
        <v>1</v>
      </c>
      <c r="I3" cm="1">
        <f t="array" ref="I3">D3 - _xlfn.XLOOKUP(1,(C$2:C$102=C3)*(B$2:B$102=_xlfn.MINIFS(B$2:B$102,C$2:C$102,C3)),D$2:D$102)</f>
        <v>0</v>
      </c>
    </row>
    <row r="4" spans="1:9" x14ac:dyDescent="0.3">
      <c r="A4" t="str">
        <f t="shared" si="0"/>
        <v>Mar</v>
      </c>
      <c r="B4" s="1">
        <v>46112</v>
      </c>
      <c r="C4" t="s">
        <v>7</v>
      </c>
      <c r="D4">
        <v>16</v>
      </c>
      <c r="E4" t="s">
        <v>22</v>
      </c>
      <c r="F4" t="str">
        <f t="shared" si="2"/>
        <v>Medio</v>
      </c>
      <c r="G4" t="str">
        <f t="shared" si="3"/>
        <v>Aprobado</v>
      </c>
      <c r="H4">
        <f t="shared" si="1"/>
        <v>18</v>
      </c>
      <c r="I4" cm="1">
        <f t="array" ref="I4">D4 - _xlfn.XLOOKUP(1,(C$2:C$102=C4)*(B$2:B$102=_xlfn.MINIFS(B$2:B$102,C$2:C$102,C4)),D$2:D$102)</f>
        <v>-4</v>
      </c>
    </row>
    <row r="5" spans="1:9" x14ac:dyDescent="0.3">
      <c r="A5" t="str">
        <f t="shared" si="0"/>
        <v>Mar</v>
      </c>
      <c r="B5" s="1">
        <v>46112</v>
      </c>
      <c r="C5" t="s">
        <v>7</v>
      </c>
      <c r="D5">
        <v>16</v>
      </c>
      <c r="E5" t="s">
        <v>23</v>
      </c>
      <c r="F5" t="str">
        <f t="shared" si="2"/>
        <v>Medio</v>
      </c>
      <c r="G5" t="str">
        <f t="shared" si="3"/>
        <v>Aprobado</v>
      </c>
      <c r="H5">
        <f t="shared" si="1"/>
        <v>18</v>
      </c>
      <c r="I5" cm="1">
        <f t="array" ref="I5">D5 - _xlfn.XLOOKUP(1,(C$2:C$102=C5)*(B$2:B$102=_xlfn.MINIFS(B$2:B$102,C$2:C$102,C5)),D$2:D$102)</f>
        <v>-4</v>
      </c>
    </row>
    <row r="6" spans="1:9" x14ac:dyDescent="0.3">
      <c r="A6" t="str">
        <f t="shared" si="0"/>
        <v>Mar</v>
      </c>
      <c r="B6" s="1">
        <v>46112</v>
      </c>
      <c r="C6" t="s">
        <v>8</v>
      </c>
      <c r="D6">
        <v>18</v>
      </c>
      <c r="E6" t="s">
        <v>40</v>
      </c>
      <c r="F6" t="str">
        <f t="shared" si="2"/>
        <v>Alto</v>
      </c>
      <c r="G6" t="str">
        <f t="shared" si="3"/>
        <v>Aprobado</v>
      </c>
      <c r="H6">
        <f t="shared" si="1"/>
        <v>11</v>
      </c>
      <c r="I6" cm="1">
        <f t="array" ref="I6">D6 - _xlfn.XLOOKUP(1,(C$2:C$102=C6)*(B$2:B$102=_xlfn.MINIFS(B$2:B$102,C$2:C$102,C6)),D$2:D$102)</f>
        <v>0</v>
      </c>
    </row>
    <row r="7" spans="1:9" x14ac:dyDescent="0.3">
      <c r="A7" t="str">
        <f t="shared" si="0"/>
        <v>Mar</v>
      </c>
      <c r="B7" s="1">
        <v>46112</v>
      </c>
      <c r="C7" t="s">
        <v>14</v>
      </c>
      <c r="D7">
        <v>17</v>
      </c>
      <c r="E7" t="s">
        <v>40</v>
      </c>
      <c r="F7" t="str">
        <f t="shared" si="2"/>
        <v>Medio</v>
      </c>
      <c r="G7" t="str">
        <f t="shared" si="3"/>
        <v>Aprobado</v>
      </c>
      <c r="H7">
        <f t="shared" si="1"/>
        <v>16</v>
      </c>
      <c r="I7" cm="1">
        <f t="array" ref="I7">D7 - _xlfn.XLOOKUP(1,(C$2:C$102=C7)*(B$2:B$102=_xlfn.MINIFS(B$2:B$102,C$2:C$102,C7)),D$2:D$102)</f>
        <v>0</v>
      </c>
    </row>
    <row r="8" spans="1:9" x14ac:dyDescent="0.3">
      <c r="A8" t="str">
        <f t="shared" si="0"/>
        <v>Mar</v>
      </c>
      <c r="B8" s="1">
        <v>46112</v>
      </c>
      <c r="C8" t="s">
        <v>25</v>
      </c>
      <c r="D8">
        <v>20</v>
      </c>
      <c r="E8" t="s">
        <v>40</v>
      </c>
      <c r="F8" t="str">
        <f t="shared" si="2"/>
        <v>Alto</v>
      </c>
      <c r="G8" t="str">
        <f t="shared" si="3"/>
        <v>Aprobado</v>
      </c>
      <c r="H8">
        <f t="shared" si="1"/>
        <v>1</v>
      </c>
      <c r="I8" cm="1">
        <f t="array" ref="I8">D8 - _xlfn.XLOOKUP(1,(C$2:C$102=C8)*(B$2:B$102=_xlfn.MINIFS(B$2:B$102,C$2:C$102,C8)),D$2:D$102)</f>
        <v>0</v>
      </c>
    </row>
    <row r="9" spans="1:9" x14ac:dyDescent="0.3">
      <c r="A9" t="str">
        <f t="shared" si="0"/>
        <v>Mar</v>
      </c>
      <c r="B9" s="1">
        <v>46112</v>
      </c>
      <c r="C9" t="s">
        <v>12</v>
      </c>
      <c r="D9">
        <v>18</v>
      </c>
      <c r="E9" t="s">
        <v>40</v>
      </c>
      <c r="F9" t="str">
        <f t="shared" si="2"/>
        <v>Alto</v>
      </c>
      <c r="G9" t="str">
        <f t="shared" si="3"/>
        <v>Aprobado</v>
      </c>
      <c r="H9">
        <f t="shared" si="1"/>
        <v>11</v>
      </c>
      <c r="I9" cm="1">
        <f t="array" ref="I9">D9 - _xlfn.XLOOKUP(1,(C$2:C$102=C9)*(B$2:B$102=_xlfn.MINIFS(B$2:B$102,C$2:C$102,C9)),D$2:D$102)</f>
        <v>0</v>
      </c>
    </row>
    <row r="10" spans="1:9" x14ac:dyDescent="0.3">
      <c r="A10" t="str">
        <f t="shared" si="0"/>
        <v>Mar</v>
      </c>
      <c r="B10" s="1">
        <v>46112</v>
      </c>
      <c r="C10" t="s">
        <v>18</v>
      </c>
      <c r="D10">
        <v>18</v>
      </c>
      <c r="E10" t="s">
        <v>40</v>
      </c>
      <c r="F10" t="str">
        <f t="shared" si="2"/>
        <v>Alto</v>
      </c>
      <c r="G10" t="str">
        <f t="shared" si="3"/>
        <v>Aprobado</v>
      </c>
      <c r="H10">
        <f t="shared" si="1"/>
        <v>11</v>
      </c>
      <c r="I10" cm="1">
        <f t="array" ref="I10">D10 - _xlfn.XLOOKUP(1,(C$2:C$102=C10)*(B$2:B$102=_xlfn.MINIFS(B$2:B$102,C$2:C$102,C10)),D$2:D$102)</f>
        <v>0</v>
      </c>
    </row>
    <row r="11" spans="1:9" x14ac:dyDescent="0.3">
      <c r="A11" t="str">
        <f t="shared" si="0"/>
        <v>Mar</v>
      </c>
      <c r="B11" s="1">
        <v>46112</v>
      </c>
      <c r="C11" t="s">
        <v>16</v>
      </c>
      <c r="D11">
        <v>20</v>
      </c>
      <c r="E11" t="s">
        <v>40</v>
      </c>
      <c r="F11" t="str">
        <f t="shared" si="2"/>
        <v>Alto</v>
      </c>
      <c r="G11" t="str">
        <f t="shared" si="3"/>
        <v>Aprobado</v>
      </c>
      <c r="H11">
        <f t="shared" si="1"/>
        <v>1</v>
      </c>
      <c r="I11" cm="1">
        <f t="array" ref="I11">D11 - _xlfn.XLOOKUP(1,(C$2:C$102=C11)*(B$2:B$102=_xlfn.MINIFS(B$2:B$102,C$2:C$102,C11)),D$2:D$102)</f>
        <v>0</v>
      </c>
    </row>
    <row r="12" spans="1:9" x14ac:dyDescent="0.3">
      <c r="A12" t="str">
        <f t="shared" si="0"/>
        <v>Mar</v>
      </c>
      <c r="B12" s="1">
        <v>46112</v>
      </c>
      <c r="C12" t="s">
        <v>10</v>
      </c>
      <c r="D12">
        <v>17</v>
      </c>
      <c r="E12" t="s">
        <v>40</v>
      </c>
      <c r="F12" t="str">
        <f t="shared" si="2"/>
        <v>Medio</v>
      </c>
      <c r="G12" t="str">
        <f t="shared" si="3"/>
        <v>Aprobado</v>
      </c>
      <c r="H12">
        <f t="shared" si="1"/>
        <v>16</v>
      </c>
      <c r="I12" cm="1">
        <f t="array" ref="I12">D12 - _xlfn.XLOOKUP(1,(C$2:C$102=C12)*(B$2:B$102=_xlfn.MINIFS(B$2:B$102,C$2:C$102,C12)),D$2:D$102)</f>
        <v>0</v>
      </c>
    </row>
    <row r="13" spans="1:9" x14ac:dyDescent="0.3">
      <c r="A13" t="str">
        <f t="shared" si="0"/>
        <v>Abr</v>
      </c>
      <c r="B13" s="1">
        <v>46113</v>
      </c>
      <c r="C13" t="s">
        <v>15</v>
      </c>
      <c r="D13">
        <v>20</v>
      </c>
      <c r="E13" t="s">
        <v>21</v>
      </c>
      <c r="F13" t="str">
        <f t="shared" ref="F13:F23" si="4">+IF(D13&gt;=18,"Alto",IF(D13&gt;15,"Medio","Bajo"))</f>
        <v>Alto</v>
      </c>
      <c r="G13" t="str">
        <f t="shared" si="3"/>
        <v>Aprobado</v>
      </c>
      <c r="H13">
        <f t="shared" si="1"/>
        <v>1</v>
      </c>
      <c r="I13" cm="1">
        <f t="array" ref="I13">D13 - _xlfn.XLOOKUP(1,(C$2:C$102=C13)*(B$2:B$102=_xlfn.MINIFS(B$2:B$102,C$2:C$102,C13)),D$2:D$102)</f>
        <v>0</v>
      </c>
    </row>
    <row r="14" spans="1:9" x14ac:dyDescent="0.3">
      <c r="A14" t="str">
        <f t="shared" si="0"/>
        <v>Abr</v>
      </c>
      <c r="B14" s="1">
        <v>46118</v>
      </c>
      <c r="C14" t="s">
        <v>15</v>
      </c>
      <c r="D14">
        <v>20</v>
      </c>
      <c r="E14" t="s">
        <v>20</v>
      </c>
      <c r="F14" t="str">
        <f t="shared" si="4"/>
        <v>Alto</v>
      </c>
      <c r="G14" t="str">
        <f t="shared" si="3"/>
        <v>Aprobado</v>
      </c>
      <c r="H14">
        <f t="shared" si="1"/>
        <v>1</v>
      </c>
      <c r="I14" cm="1">
        <f t="array" ref="I14">D14 - _xlfn.XLOOKUP(1,(C$2:C$102=C14)*(B$2:B$102=_xlfn.MINIFS(B$2:B$102,C$2:C$102,C14)),D$2:D$102)</f>
        <v>0</v>
      </c>
    </row>
    <row r="15" spans="1:9" x14ac:dyDescent="0.3">
      <c r="A15" t="str">
        <f>+TEXT(B15,"mmm")</f>
        <v>Abr</v>
      </c>
      <c r="B15" s="1">
        <v>46122</v>
      </c>
      <c r="C15" t="s">
        <v>15</v>
      </c>
      <c r="D15">
        <v>8</v>
      </c>
      <c r="E15" t="s">
        <v>22</v>
      </c>
      <c r="F15" t="str">
        <f t="shared" si="4"/>
        <v>Bajo</v>
      </c>
      <c r="G15" t="str">
        <f t="shared" si="3"/>
        <v>Desaprobado</v>
      </c>
      <c r="H15">
        <f t="shared" si="1"/>
        <v>22</v>
      </c>
      <c r="I15" cm="1">
        <f t="array" ref="I15">D15 - _xlfn.XLOOKUP(1,(C$2:C$102=C15)*(B$2:B$102=_xlfn.MINIFS(B$2:B$102,C$2:C$102,C15)),D$2:D$102)</f>
        <v>-12</v>
      </c>
    </row>
    <row r="16" spans="1:9" x14ac:dyDescent="0.3">
      <c r="A16" t="str">
        <f>+TEXT(B16,"mmm")</f>
        <v>Abr</v>
      </c>
      <c r="B16" s="1">
        <v>46123</v>
      </c>
      <c r="C16" t="s">
        <v>15</v>
      </c>
      <c r="D16">
        <v>20</v>
      </c>
      <c r="E16" t="s">
        <v>23</v>
      </c>
      <c r="F16" t="str">
        <f t="shared" si="4"/>
        <v>Alto</v>
      </c>
      <c r="G16" t="str">
        <f t="shared" si="3"/>
        <v>Aprobado</v>
      </c>
      <c r="H16">
        <f t="shared" si="1"/>
        <v>1</v>
      </c>
      <c r="I16" cm="1">
        <f t="array" ref="I16">D16 - _xlfn.XLOOKUP(1,(C$2:C$102=C16)*(B$2:B$102=_xlfn.MINIFS(B$2:B$102,C$2:C$102,C16)),D$2:D$102)</f>
        <v>0</v>
      </c>
    </row>
    <row r="17" spans="1:9" x14ac:dyDescent="0.3">
      <c r="A17" t="str">
        <f t="shared" si="0"/>
        <v>Abr</v>
      </c>
      <c r="B17" s="1">
        <v>46116</v>
      </c>
      <c r="C17" t="s">
        <v>41</v>
      </c>
      <c r="D17">
        <v>18</v>
      </c>
      <c r="E17" t="s">
        <v>20</v>
      </c>
      <c r="F17" t="str">
        <f t="shared" si="4"/>
        <v>Alto</v>
      </c>
      <c r="G17" t="str">
        <f t="shared" si="3"/>
        <v>Aprobado</v>
      </c>
      <c r="H17">
        <f t="shared" si="1"/>
        <v>11</v>
      </c>
      <c r="I17" cm="1">
        <f t="array" ref="I17">D17 - _xlfn.XLOOKUP(1,(C$2:C$102=C17)*(B$2:B$102=_xlfn.MINIFS(B$2:B$102,C$2:C$102,C17)),D$2:D$102)</f>
        <v>0</v>
      </c>
    </row>
    <row r="18" spans="1:9" x14ac:dyDescent="0.3">
      <c r="A18" t="str">
        <f t="shared" si="0"/>
        <v>Abr</v>
      </c>
      <c r="B18" s="1">
        <v>46116</v>
      </c>
      <c r="C18" t="s">
        <v>41</v>
      </c>
      <c r="D18">
        <v>20</v>
      </c>
      <c r="E18" t="s">
        <v>21</v>
      </c>
      <c r="F18" t="str">
        <f t="shared" si="4"/>
        <v>Alto</v>
      </c>
      <c r="G18" t="str">
        <f t="shared" si="3"/>
        <v>Aprobado</v>
      </c>
      <c r="H18">
        <f t="shared" si="1"/>
        <v>1</v>
      </c>
      <c r="I18" cm="1">
        <f t="array" ref="I18">D18 - _xlfn.XLOOKUP(1,(C$2:C$102=C18)*(B$2:B$102=_xlfn.MINIFS(B$2:B$102,C$2:C$102,C18)),D$2:D$102)</f>
        <v>2</v>
      </c>
    </row>
    <row r="19" spans="1:9" x14ac:dyDescent="0.3">
      <c r="A19" t="str">
        <f t="shared" si="0"/>
        <v>Abr</v>
      </c>
      <c r="B19" s="1">
        <v>46122</v>
      </c>
      <c r="C19" t="s">
        <v>41</v>
      </c>
      <c r="D19">
        <v>20</v>
      </c>
      <c r="E19" t="s">
        <v>22</v>
      </c>
      <c r="F19" t="str">
        <f t="shared" si="4"/>
        <v>Alto</v>
      </c>
      <c r="G19" t="str">
        <f t="shared" si="3"/>
        <v>Aprobado</v>
      </c>
      <c r="H19">
        <f t="shared" si="1"/>
        <v>1</v>
      </c>
      <c r="I19" cm="1">
        <f t="array" ref="I19">D19 - _xlfn.XLOOKUP(1,(C$2:C$102=C19)*(B$2:B$102=_xlfn.MINIFS(B$2:B$102,C$2:C$102,C19)),D$2:D$102)</f>
        <v>2</v>
      </c>
    </row>
    <row r="20" spans="1:9" x14ac:dyDescent="0.3">
      <c r="A20" t="str">
        <f t="shared" si="0"/>
        <v>Abr</v>
      </c>
      <c r="B20" s="1">
        <v>46122</v>
      </c>
      <c r="C20" t="s">
        <v>41</v>
      </c>
      <c r="D20">
        <v>14</v>
      </c>
      <c r="E20" t="s">
        <v>23</v>
      </c>
      <c r="F20" t="str">
        <f t="shared" si="4"/>
        <v>Bajo</v>
      </c>
      <c r="G20" t="str">
        <f t="shared" si="3"/>
        <v>Desaprobado</v>
      </c>
      <c r="H20">
        <f t="shared" si="1"/>
        <v>21</v>
      </c>
      <c r="I20" cm="1">
        <f t="array" ref="I20">D20 - _xlfn.XLOOKUP(1,(C$2:C$102=C20)*(B$2:B$102=_xlfn.MINIFS(B$2:B$102,C$2:C$102,C20)),D$2:D$102)</f>
        <v>-4</v>
      </c>
    </row>
    <row r="21" spans="1:9" x14ac:dyDescent="0.3">
      <c r="A21" t="str">
        <f t="shared" si="0"/>
        <v>Mar</v>
      </c>
      <c r="B21" s="1">
        <v>46112</v>
      </c>
      <c r="C21" t="s">
        <v>9</v>
      </c>
      <c r="D21">
        <v>15</v>
      </c>
      <c r="E21" t="s">
        <v>40</v>
      </c>
      <c r="F21" t="str">
        <f t="shared" si="4"/>
        <v>Bajo</v>
      </c>
      <c r="G21" t="str">
        <f t="shared" si="3"/>
        <v>Aprobado</v>
      </c>
      <c r="H21">
        <f t="shared" si="1"/>
        <v>20</v>
      </c>
      <c r="I21" cm="1">
        <f t="array" ref="I21">D21 - _xlfn.XLOOKUP(1,(C$2:C$102=C21)*(B$2:B$102=_xlfn.MINIFS(B$2:B$102,C$2:C$102,C21)),D$2:D$102)</f>
        <v>0</v>
      </c>
    </row>
    <row r="22" spans="1:9" x14ac:dyDescent="0.3">
      <c r="A22" t="str">
        <f t="shared" si="0"/>
        <v>Mar</v>
      </c>
      <c r="B22" s="1">
        <v>46112</v>
      </c>
      <c r="C22" t="s">
        <v>17</v>
      </c>
      <c r="D22">
        <v>18</v>
      </c>
      <c r="E22" t="s">
        <v>40</v>
      </c>
      <c r="F22" t="str">
        <f t="shared" si="4"/>
        <v>Alto</v>
      </c>
      <c r="G22" t="str">
        <f t="shared" si="3"/>
        <v>Aprobado</v>
      </c>
      <c r="H22">
        <f t="shared" si="1"/>
        <v>11</v>
      </c>
      <c r="I22" cm="1">
        <f t="array" ref="I22">D22 - _xlfn.XLOOKUP(1,(C$2:C$102=C22)*(B$2:B$102=_xlfn.MINIFS(B$2:B$102,C$2:C$102,C22)),D$2:D$102)</f>
        <v>0</v>
      </c>
    </row>
    <row r="23" spans="1:9" x14ac:dyDescent="0.3">
      <c r="A23" t="str">
        <f t="shared" si="0"/>
        <v>Mar</v>
      </c>
      <c r="B23" s="1">
        <v>46112</v>
      </c>
      <c r="C23" t="s">
        <v>13</v>
      </c>
      <c r="D23">
        <v>20</v>
      </c>
      <c r="E23" t="s">
        <v>40</v>
      </c>
      <c r="F23" t="str">
        <f t="shared" si="4"/>
        <v>Alto</v>
      </c>
      <c r="G23" t="str">
        <f t="shared" si="3"/>
        <v>Aprobado</v>
      </c>
      <c r="H23">
        <f t="shared" si="1"/>
        <v>1</v>
      </c>
      <c r="I23" cm="1">
        <f t="array" ref="I23">D23 - _xlfn.XLOOKUP(1,(C$2:C$102=C23)*(B$2:B$102=_xlfn.MINIFS(B$2:B$102,C$2:C$102,C23)),D$2:D$102)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644B-DD43-4EE8-B47F-070E61120A35}">
  <dimension ref="A1:D21"/>
  <sheetViews>
    <sheetView workbookViewId="0">
      <selection activeCell="A19" sqref="A19"/>
    </sheetView>
  </sheetViews>
  <sheetFormatPr baseColWidth="10" defaultRowHeight="14.4" x14ac:dyDescent="0.3"/>
  <cols>
    <col min="1" max="1" width="20.33203125" customWidth="1"/>
    <col min="2" max="2" width="13.33203125" customWidth="1"/>
  </cols>
  <sheetData>
    <row r="1" spans="1:4" ht="15" thickBot="1" x14ac:dyDescent="0.35"/>
    <row r="2" spans="1:4" x14ac:dyDescent="0.3">
      <c r="A2" s="8" t="s">
        <v>26</v>
      </c>
      <c r="B2" s="9"/>
      <c r="C2" s="9"/>
    </row>
    <row r="3" spans="1:4" x14ac:dyDescent="0.3">
      <c r="A3" s="4" t="s">
        <v>27</v>
      </c>
      <c r="B3" s="4" t="s">
        <v>28</v>
      </c>
      <c r="C3" s="4" t="s">
        <v>29</v>
      </c>
    </row>
    <row r="4" spans="1:4" x14ac:dyDescent="0.3">
      <c r="A4" s="5" t="s">
        <v>30</v>
      </c>
      <c r="B4" s="6" t="s">
        <v>31</v>
      </c>
      <c r="C4" s="6">
        <v>50</v>
      </c>
    </row>
    <row r="5" spans="1:4" x14ac:dyDescent="0.3">
      <c r="A5" s="5" t="s">
        <v>12</v>
      </c>
      <c r="B5" s="6" t="s">
        <v>32</v>
      </c>
      <c r="C5" s="6">
        <v>50</v>
      </c>
    </row>
    <row r="6" spans="1:4" x14ac:dyDescent="0.3">
      <c r="A6" s="5" t="s">
        <v>33</v>
      </c>
      <c r="B6" s="6" t="s">
        <v>31</v>
      </c>
      <c r="C6" s="6">
        <v>45</v>
      </c>
    </row>
    <row r="7" spans="1:4" x14ac:dyDescent="0.3">
      <c r="A7" s="5" t="s">
        <v>16</v>
      </c>
      <c r="B7" s="6" t="s">
        <v>34</v>
      </c>
      <c r="C7" s="6">
        <v>60</v>
      </c>
    </row>
    <row r="8" spans="1:4" x14ac:dyDescent="0.3">
      <c r="A8" s="5" t="s">
        <v>11</v>
      </c>
      <c r="B8" s="6" t="s">
        <v>34</v>
      </c>
      <c r="C8" s="6">
        <v>60</v>
      </c>
    </row>
    <row r="9" spans="1:4" x14ac:dyDescent="0.3">
      <c r="A9" s="5" t="s">
        <v>8</v>
      </c>
      <c r="B9" s="6" t="s">
        <v>34</v>
      </c>
      <c r="C9" s="6">
        <v>60</v>
      </c>
    </row>
    <row r="10" spans="1:4" x14ac:dyDescent="0.3">
      <c r="A10" s="7" t="s">
        <v>35</v>
      </c>
      <c r="B10" s="6" t="s">
        <v>36</v>
      </c>
      <c r="C10" s="6">
        <v>60</v>
      </c>
    </row>
    <row r="11" spans="1:4" x14ac:dyDescent="0.3">
      <c r="A11" s="5" t="s">
        <v>14</v>
      </c>
      <c r="B11" s="6" t="s">
        <v>37</v>
      </c>
      <c r="C11" s="6">
        <v>60</v>
      </c>
    </row>
    <row r="12" spans="1:4" x14ac:dyDescent="0.3">
      <c r="A12" s="5" t="s">
        <v>13</v>
      </c>
      <c r="B12" s="6" t="s">
        <v>37</v>
      </c>
      <c r="C12" s="6">
        <v>60</v>
      </c>
    </row>
    <row r="14" spans="1:4" ht="15" thickBot="1" x14ac:dyDescent="0.35">
      <c r="A14" s="2" t="s">
        <v>27</v>
      </c>
      <c r="B14" s="2" t="s">
        <v>28</v>
      </c>
      <c r="C14" s="2" t="s">
        <v>29</v>
      </c>
      <c r="D14" s="3"/>
    </row>
    <row r="15" spans="1:4" x14ac:dyDescent="0.3">
      <c r="A15" s="5" t="s">
        <v>7</v>
      </c>
      <c r="B15" s="6" t="s">
        <v>38</v>
      </c>
      <c r="C15" s="6">
        <v>35</v>
      </c>
      <c r="D15" s="3"/>
    </row>
    <row r="16" spans="1:4" x14ac:dyDescent="0.3">
      <c r="A16" s="5" t="s">
        <v>17</v>
      </c>
      <c r="B16" s="6" t="s">
        <v>38</v>
      </c>
      <c r="C16" s="6">
        <v>35</v>
      </c>
      <c r="D16" s="3"/>
    </row>
    <row r="17" spans="1:4" x14ac:dyDescent="0.3">
      <c r="A17" s="5" t="s">
        <v>9</v>
      </c>
      <c r="B17" s="6" t="s">
        <v>38</v>
      </c>
      <c r="C17" s="6">
        <v>35</v>
      </c>
      <c r="D17" s="3"/>
    </row>
    <row r="18" spans="1:4" x14ac:dyDescent="0.3">
      <c r="A18" s="5" t="s">
        <v>41</v>
      </c>
      <c r="B18" s="6" t="s">
        <v>39</v>
      </c>
      <c r="C18" s="6">
        <v>30</v>
      </c>
      <c r="D18" s="3"/>
    </row>
    <row r="19" spans="1:4" x14ac:dyDescent="0.3">
      <c r="A19" s="5" t="s">
        <v>18</v>
      </c>
      <c r="B19" s="6" t="s">
        <v>39</v>
      </c>
      <c r="C19" s="6">
        <v>35</v>
      </c>
      <c r="D19" s="3"/>
    </row>
    <row r="20" spans="1:4" x14ac:dyDescent="0.3">
      <c r="A20" s="5" t="s">
        <v>10</v>
      </c>
      <c r="B20" s="6" t="s">
        <v>39</v>
      </c>
      <c r="C20" s="6">
        <v>35</v>
      </c>
      <c r="D20" s="3"/>
    </row>
    <row r="21" spans="1:4" x14ac:dyDescent="0.3">
      <c r="A21" s="5" t="s">
        <v>15</v>
      </c>
      <c r="B21" s="6" t="s">
        <v>39</v>
      </c>
      <c r="C21" s="6">
        <v>35</v>
      </c>
      <c r="D21" s="3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Resultado_Examen_Calidad</vt:lpstr>
      <vt:lpstr>Dotacion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Mariscal Almeyda</dc:creator>
  <cp:lastModifiedBy>Alexander  Mariscal Almeyda</cp:lastModifiedBy>
  <dcterms:created xsi:type="dcterms:W3CDTF">2026-04-01T15:36:15Z</dcterms:created>
  <dcterms:modified xsi:type="dcterms:W3CDTF">2026-04-17T15:36:59Z</dcterms:modified>
</cp:coreProperties>
</file>