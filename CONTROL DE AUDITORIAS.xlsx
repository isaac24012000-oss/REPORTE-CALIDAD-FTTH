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VENTAS BITEL FTTH\REPORTESS CLIENTE BITEL\REPORTE-CALIDAD-FTTH\"/>
    </mc:Choice>
  </mc:AlternateContent>
  <xr:revisionPtr revIDLastSave="0" documentId="13_ncr:1_{72B28B5F-764F-46C1-BE5C-54629A3F1017}" xr6:coauthVersionLast="47" xr6:coauthVersionMax="47" xr10:uidLastSave="{00000000-0000-0000-0000-000000000000}"/>
  <bookViews>
    <workbookView xWindow="-108" yWindow="-108" windowWidth="23256" windowHeight="12456" activeTab="3" xr2:uid="{55BE1432-63FC-44AA-B435-35BC9A43CAFD}"/>
  </bookViews>
  <sheets>
    <sheet name="Metricas" sheetId="2" r:id="rId1"/>
    <sheet name="Data" sheetId="1" r:id="rId2"/>
    <sheet name="Couching" sheetId="3" r:id="rId3"/>
    <sheet name="Progreso_Fecha" sheetId="4" r:id="rId4"/>
  </sheets>
  <definedNames>
    <definedName name="_xlnm._FilterDatabase" localSheetId="2" hidden="1">Couching!$A$1:$AM$1</definedName>
    <definedName name="_xlnm._FilterDatabase" localSheetId="1" hidden="1">Data!$A$1:$AM$1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2" i="4" l="1"/>
  <c r="W22" i="4" s="1"/>
  <c r="V21" i="4"/>
  <c r="W21" i="4" s="1"/>
  <c r="V20" i="4"/>
  <c r="W20" i="4" s="1"/>
  <c r="V19" i="4"/>
  <c r="W19" i="4" s="1"/>
  <c r="V18" i="4"/>
  <c r="W18" i="4" s="1"/>
  <c r="V17" i="4"/>
  <c r="W17" i="4" s="1"/>
  <c r="W16" i="4"/>
  <c r="V16" i="4"/>
  <c r="V15" i="4"/>
  <c r="W15" i="4" s="1"/>
  <c r="V14" i="4"/>
  <c r="W14" i="4" s="1"/>
  <c r="V13" i="4"/>
  <c r="W13" i="4" s="1"/>
  <c r="V12" i="4"/>
  <c r="W12" i="4" s="1"/>
  <c r="V11" i="4"/>
  <c r="W11" i="4" s="1"/>
  <c r="V10" i="4"/>
  <c r="W10" i="4" s="1"/>
  <c r="V9" i="4"/>
  <c r="W9" i="4" s="1"/>
  <c r="V8" i="4"/>
  <c r="W8" i="4" s="1"/>
  <c r="V7" i="4"/>
  <c r="W7" i="4" s="1"/>
  <c r="V6" i="4"/>
  <c r="W6" i="4" s="1"/>
  <c r="V5" i="4"/>
  <c r="W5" i="4" s="1"/>
  <c r="V4" i="4"/>
  <c r="W4" i="4" s="1"/>
  <c r="V3" i="4"/>
  <c r="W3" i="4" s="1"/>
  <c r="V2" i="4"/>
  <c r="W2" i="4" s="1"/>
  <c r="AD20" i="3"/>
  <c r="AC20" i="3"/>
  <c r="V20" i="3"/>
  <c r="W20" i="3" s="1"/>
  <c r="AD19" i="3"/>
  <c r="AC19" i="3"/>
  <c r="V19" i="3"/>
  <c r="W19" i="3" s="1"/>
  <c r="AD18" i="3"/>
  <c r="AC18" i="3"/>
  <c r="V18" i="3"/>
  <c r="W18" i="3" s="1"/>
  <c r="AD17" i="3"/>
  <c r="AC17" i="3"/>
  <c r="V17" i="3"/>
  <c r="W17" i="3" s="1"/>
  <c r="AD16" i="3"/>
  <c r="AC16" i="3"/>
  <c r="V16" i="3"/>
  <c r="W16" i="3" s="1"/>
  <c r="AD15" i="3"/>
  <c r="AC15" i="3"/>
  <c r="V15" i="3"/>
  <c r="W15" i="3" s="1"/>
  <c r="AD14" i="3"/>
  <c r="AC14" i="3"/>
  <c r="V14" i="3"/>
  <c r="W14" i="3" s="1"/>
  <c r="AD13" i="3"/>
  <c r="AC13" i="3"/>
  <c r="V13" i="3"/>
  <c r="W13" i="3" s="1"/>
  <c r="AD12" i="3"/>
  <c r="AC12" i="3"/>
  <c r="V12" i="3"/>
  <c r="W12" i="3" s="1"/>
  <c r="AD11" i="3"/>
  <c r="AC11" i="3"/>
  <c r="V11" i="3"/>
  <c r="W11" i="3" s="1"/>
  <c r="AD10" i="3"/>
  <c r="AC10" i="3"/>
  <c r="V10" i="3"/>
  <c r="W10" i="3" s="1"/>
  <c r="AD9" i="3"/>
  <c r="AC9" i="3"/>
  <c r="V9" i="3"/>
  <c r="W9" i="3" s="1"/>
  <c r="AD8" i="3"/>
  <c r="AC8" i="3"/>
  <c r="V8" i="3"/>
  <c r="W8" i="3" s="1"/>
  <c r="AD7" i="3"/>
  <c r="AC7" i="3"/>
  <c r="V7" i="3"/>
  <c r="W7" i="3" s="1"/>
  <c r="AD6" i="3"/>
  <c r="AC6" i="3"/>
  <c r="V6" i="3"/>
  <c r="W6" i="3" s="1"/>
  <c r="AD5" i="3"/>
  <c r="AC5" i="3"/>
  <c r="V5" i="3"/>
  <c r="W5" i="3" s="1"/>
  <c r="AD4" i="3"/>
  <c r="AC4" i="3"/>
  <c r="V4" i="3"/>
  <c r="W4" i="3" s="1"/>
  <c r="AD3" i="3"/>
  <c r="AC3" i="3"/>
  <c r="V3" i="3"/>
  <c r="W3" i="3" s="1"/>
  <c r="AD2" i="3"/>
  <c r="AC2" i="3"/>
  <c r="V2" i="3"/>
  <c r="W2" i="3" s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" i="1"/>
  <c r="V6" i="1"/>
  <c r="W6" i="1" s="1"/>
  <c r="V20" i="1"/>
  <c r="W20" i="1" s="1"/>
  <c r="V19" i="1"/>
  <c r="W19" i="1" s="1"/>
  <c r="V15" i="1"/>
  <c r="W15" i="1" s="1"/>
  <c r="V16" i="1"/>
  <c r="W16" i="1" s="1"/>
  <c r="V18" i="1"/>
  <c r="W18" i="1" s="1"/>
  <c r="V17" i="1"/>
  <c r="W17" i="1" s="1"/>
  <c r="V13" i="1"/>
  <c r="W13" i="1" s="1"/>
  <c r="V14" i="1"/>
  <c r="W14" i="1" s="1"/>
  <c r="V8" i="1"/>
  <c r="W8" i="1" s="1"/>
  <c r="V5" i="1"/>
  <c r="W5" i="1" s="1"/>
  <c r="V3" i="1"/>
  <c r="W3" i="1" s="1"/>
  <c r="V11" i="1"/>
  <c r="W11" i="1" s="1"/>
  <c r="V7" i="1"/>
  <c r="W7" i="1" s="1"/>
  <c r="V10" i="1"/>
  <c r="W10" i="1" s="1"/>
  <c r="V4" i="1"/>
  <c r="W4" i="1" s="1"/>
  <c r="V12" i="1"/>
  <c r="W12" i="1" s="1"/>
  <c r="V9" i="1"/>
  <c r="W9" i="1" s="1"/>
  <c r="V2" i="1"/>
  <c r="W2" i="1" s="1"/>
</calcChain>
</file>

<file path=xl/sharedStrings.xml><?xml version="1.0" encoding="utf-8"?>
<sst xmlns="http://schemas.openxmlformats.org/spreadsheetml/2006/main" count="407" uniqueCount="137">
  <si>
    <t>Sale Conv %</t>
  </si>
  <si>
    <t>ZIM_ALEXISGK_VTP</t>
  </si>
  <si>
    <t>ZIM_ALVAROLC_VTP</t>
  </si>
  <si>
    <t>ZIM_ANTHONYJR_VTP</t>
  </si>
  <si>
    <t>ZIM_CARLOSVG_VTP</t>
  </si>
  <si>
    <t>ZIM_DANIELAAJ_VTP</t>
  </si>
  <si>
    <t>ZIM_FLAVIOTB_VTP</t>
  </si>
  <si>
    <t>ZIM_INDIRAMM_VTP</t>
  </si>
  <si>
    <t>ZIM_ISAACLM_VTP</t>
  </si>
  <si>
    <t>ZIM_JESUSSZ_VTP</t>
  </si>
  <si>
    <t>ZIM_JULIOLD_VTP</t>
  </si>
  <si>
    <t>ZIM_KARINASE_VTP</t>
  </si>
  <si>
    <t>ZIM_LESLYZR_VTP</t>
  </si>
  <si>
    <t>ZIM_MILAGROSMM_VTP</t>
  </si>
  <si>
    <t>ZIM_NERYIU_VTP</t>
  </si>
  <si>
    <t>ZIM_PERCYMC_VTP</t>
  </si>
  <si>
    <t>ZIM_STEVENCM_VTP</t>
  </si>
  <si>
    <t>ZIM_ZOILASM_VTP</t>
  </si>
  <si>
    <t>ZIM_LUISPC_VTP</t>
  </si>
  <si>
    <t>ZIM_JUANCL_VTP</t>
  </si>
  <si>
    <t>Total</t>
  </si>
  <si>
    <t>Sale Conversion %</t>
  </si>
  <si>
    <t>Agentes Zimach</t>
  </si>
  <si>
    <t>Monitoreo</t>
  </si>
  <si>
    <t>Segmento</t>
  </si>
  <si>
    <t>Metricas</t>
  </si>
  <si>
    <t>Descripciòn</t>
  </si>
  <si>
    <t>Puntaje</t>
  </si>
  <si>
    <t>Habilidades de Apertura</t>
  </si>
  <si>
    <t>Presentaciòn</t>
  </si>
  <si>
    <t xml:space="preserve">Menciona su Nombre  y Apellido. Resalta el nombre de la campaña, motivo de llamada è identificar al cliente. </t>
  </si>
  <si>
    <t xml:space="preserve">Expresion Verbal / Diccion </t>
  </si>
  <si>
    <t>Tiempo de Espera</t>
  </si>
  <si>
    <t>Justificar los tiempo, hacer buen uso de los tiempos</t>
  </si>
  <si>
    <t xml:space="preserve">Sondeo Asertivo </t>
  </si>
  <si>
    <t>Negociaciòn</t>
  </si>
  <si>
    <t>Escucha Activa</t>
  </si>
  <si>
    <t>Demuestra Escucha Activa y utilizar la informacion a su favor</t>
  </si>
  <si>
    <t>Manejo de llamada</t>
  </si>
  <si>
    <t xml:space="preserve">Seguridad </t>
  </si>
  <si>
    <t>Transmite seguridad en la llamada</t>
  </si>
  <si>
    <t xml:space="preserve">Empatìa </t>
  </si>
  <si>
    <t>Empatizar con el cliente/Actitud de Servicio</t>
  </si>
  <si>
    <t>Cierre de llamada</t>
  </si>
  <si>
    <t>Energìa/Fluidez/ Tono de voz  comercia/Vocabulario/ Dirige al cliente con respeto</t>
  </si>
  <si>
    <t>Mantiene el control de la llamada/ Manejo de Objeciòn( generando al menos un intento adicional de retención antes de finalizar la llamada)</t>
  </si>
  <si>
    <t>Negocacion escalonada</t>
  </si>
  <si>
    <t xml:space="preserve">Ofrecer del plan mas alto al mas bajos con sus respectivos beneficios. </t>
  </si>
  <si>
    <t>Utilizar argumentos efectivos para convencer al cliente (Ejemplo: Beneficios de los planes)</t>
  </si>
  <si>
    <t>Validación de titular / contacto correcto</t>
  </si>
  <si>
    <t>Evita pérdida de tiempo y mejora efectividad del contacto.</t>
  </si>
  <si>
    <t>Diagnostico y Perfilamiento</t>
  </si>
  <si>
    <t>Identificación de necesidad</t>
  </si>
  <si>
    <t>Identificación de capacidad de pago / interés real</t>
  </si>
  <si>
    <t>Detección de decisor (titular o no)</t>
  </si>
  <si>
    <t>Beneficios claros</t>
  </si>
  <si>
    <t>Diferenciación vs competencia</t>
  </si>
  <si>
    <t>Personalización del discurso según necesidad</t>
  </si>
  <si>
    <t>Argumentacion Comercial</t>
  </si>
  <si>
    <t>Generación de urgencia</t>
  </si>
  <si>
    <t xml:space="preserve">Registro correcto en sistema </t>
  </si>
  <si>
    <t>Vicidial /Mantra</t>
  </si>
  <si>
    <t>Uso adecuado de etiquetas</t>
  </si>
  <si>
    <t>Comunicar de manera clara, concreta y orientada al cliente los beneficios del servicio de fibra hogar, enfocándose en atributos relevantes como velocidad, estabilidad, calidad de conexión, entretenimiento (streaming, gaming), trabajo remoto y cantidad de dispositivos conectados. Evita centrarse solo en características técnicas y traduce el producto en ventajas prácticas para el cliente.</t>
  </si>
  <si>
    <t>destaca de forma clara por qué el servicio ofrecido es mejor o diferente frente a otras opciones del mercado, mencionando atributos como fibra real vs cable, mayor estabilidad, mejor velocidad simétrica, soporte técnico, promociones o instalación rápida, sin descalificar a la competencia.</t>
  </si>
  <si>
    <t>El asesor adapta su discurso comercial en función de la información obtenida durante el sondeo, alineando los beneficios del producto con las necesidades específicas del cliente (ejemplo: trabajo remoto, estudios, gaming, uso familiar, presupuesto). Evita usar un speech genérico.</t>
  </si>
  <si>
    <t>Etiquetar correctamente</t>
  </si>
  <si>
    <t>El asesor valida de forma indirecta y profesional si el cliente cuenta con la capacidad económica y el interés real para contratar el servicio, mediante preguntas estratégicas que permitan identificar su disposición de pago y nivel de intención, sin incomodar ni ser invasivo.  Ejemplo 
“Actualmente, ¿cuánto suele invertir en su servicio de internet?”</t>
  </si>
  <si>
    <t>El asesor identifica si la persona que atiende la llamada es quien toma la decisión de contratación o si depende de un tercero (familiar, titular del servicio, etc.), y gestiona adecuadamente la conversación en función de ello. Ejemplo esperado:
“¿Usted es quien suele tomar la decisión sobre el servicio de internet en casa?”</t>
  </si>
  <si>
    <t>El asesor profundiza en la situación actual del cliente respecto a su servicio de internet, identificando qué servicio tiene actualmente, qué problemas presenta y para qué lo utiliza, con el fin de construir una propuesta alineada a su realidad. No se queda en preguntas generales, sino que explora detalles que permitan personalizar la oferta.</t>
  </si>
  <si>
    <t>Sondeo Asertivo inicial</t>
  </si>
  <si>
    <t>Busca detectar si hay interés o necesidad básica. Ejemplo:
“¿Actualmente cuenta con servicio de internet en casa?”
“¿Cómo le está funcionando su servicio?”</t>
  </si>
  <si>
    <t>N/a</t>
  </si>
  <si>
    <t>% calidad</t>
  </si>
  <si>
    <t>Aprueba &gt; 90</t>
  </si>
  <si>
    <t>Intensidad</t>
  </si>
  <si>
    <t>Alta</t>
  </si>
  <si>
    <t>Media</t>
  </si>
  <si>
    <t>Baja</t>
  </si>
  <si>
    <t>Impacto (%)
(Conversión actual – Conversión semana anterior)</t>
  </si>
  <si>
    <t>Meta S3</t>
  </si>
  <si>
    <t>Meta S4</t>
  </si>
  <si>
    <t>Meta S1</t>
  </si>
  <si>
    <t>Meta S2</t>
  </si>
  <si>
    <t>Desviación (Conversión Real – Meta)</t>
  </si>
  <si>
    <r>
      <t>🎯</t>
    </r>
    <r>
      <rPr>
        <b/>
        <sz val="13.5"/>
        <color rgb="FF000000"/>
        <rFont val="Calibri"/>
        <family val="2"/>
        <scheme val="minor"/>
      </rPr>
      <t xml:space="preserve"> Niveles de intensidad sugeridos:</t>
    </r>
  </si>
  <si>
    <t>1 feedback semanal</t>
  </si>
  <si>
    <t>1 escucha guiada</t>
  </si>
  <si>
    <t>Sin roleplay</t>
  </si>
  <si>
    <t>2 feedbacks semanales</t>
  </si>
  <si>
    <t>2 escuchas + checklist</t>
  </si>
  <si>
    <t>1 roleplay</t>
  </si>
  <si>
    <t>Feedback diario</t>
  </si>
  <si>
    <t>Escucha + corrección en vivo</t>
  </si>
  <si>
    <t>Roleplay constante</t>
  </si>
  <si>
    <t>Seguimiento de speech</t>
  </si>
  <si>
    <t>Acción Principal</t>
  </si>
  <si>
    <t>Detalle de Trabajo</t>
  </si>
  <si>
    <t>Reestructurar speech</t>
  </si>
  <si>
    <t>Apertura + sondeo básico + cierre guiado</t>
  </si>
  <si>
    <t>Refuerzo de cierre</t>
  </si>
  <si>
    <t>Técnicas de cierre + manejo de objeción inicial</t>
  </si>
  <si>
    <t>Mejora de sondeo</t>
  </si>
  <si>
    <t>Identificación de necesidad + preguntas abiertas</t>
  </si>
  <si>
    <t>Estructura de llamada</t>
  </si>
  <si>
    <t>Orden correcto: apertura → sondeo → beneficio → cierre</t>
  </si>
  <si>
    <t>Personalización</t>
  </si>
  <si>
    <t>Adaptar discurso según necesidad del cliente</t>
  </si>
  <si>
    <t>Cierre efectivo</t>
  </si>
  <si>
    <t>Técnicas de cierre directo y alternativo</t>
  </si>
  <si>
    <t>Consistencia</t>
  </si>
  <si>
    <t>Mantener speech completo sin omisiones</t>
  </si>
  <si>
    <t>Mejora de cierre</t>
  </si>
  <si>
    <t>Uso de urgencia y beneficios finales</t>
  </si>
  <si>
    <t>Detección de necesidad</t>
  </si>
  <si>
    <t>Profundizar en problemas del cliente</t>
  </si>
  <si>
    <t>Optimización</t>
  </si>
  <si>
    <t>Reducir tiempos muertos y reforzar cierre</t>
  </si>
  <si>
    <t>Cross selling</t>
  </si>
  <si>
    <t>Ofrecer valor adicional al cierre</t>
  </si>
  <si>
    <t>Cierre con urgencia</t>
  </si>
  <si>
    <t>Generar sentido de oportunidad</t>
  </si>
  <si>
    <t>Argumentación</t>
  </si>
  <si>
    <t>Beneficios claros vs competencia</t>
  </si>
  <si>
    <t>Manejo de objeciones</t>
  </si>
  <si>
    <t>Respuestas estructuradas a rechazos</t>
  </si>
  <si>
    <t>Afinar cierre</t>
  </si>
  <si>
    <t>Reducir fuga en última etapa</t>
  </si>
  <si>
    <t>Técnicas avanzadas</t>
  </si>
  <si>
    <t>Cierre consultivo y persuasivo</t>
  </si>
  <si>
    <t>Upselling</t>
  </si>
  <si>
    <t>Maximizar valor por venta</t>
  </si>
  <si>
    <t>Replicabilidad</t>
  </si>
  <si>
    <t>Compartir buenas prácticas</t>
  </si>
  <si>
    <t>Mentoría</t>
  </si>
  <si>
    <t>Apoyo a asesores críticos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</si>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</sst>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5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theme="7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5"/>
      <name val="Calibri"/>
      <family val="2"/>
      <scheme val="minor"/>
    </font>
    <font>
      <sz val="8"/>
      <color theme="7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theme="9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0" borderId="4" xfId="0" applyBorder="1"/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0" fontId="11" fillId="0" borderId="1" xfId="0" applyNumberFormat="1" applyFont="1" applyBorder="1"/>
    <xf numFmtId="9" fontId="12" fillId="0" borderId="1" xfId="1" applyFont="1" applyBorder="1"/>
    <xf numFmtId="9" fontId="8" fillId="0" borderId="1" xfId="1" applyFont="1" applyBorder="1"/>
    <xf numFmtId="10" fontId="13" fillId="0" borderId="1" xfId="0" applyNumberFormat="1" applyFont="1" applyBorder="1"/>
    <xf numFmtId="10" fontId="14" fillId="0" borderId="1" xfId="0" applyNumberFormat="1" applyFont="1" applyBorder="1"/>
    <xf numFmtId="9" fontId="8" fillId="0" borderId="1" xfId="0" applyNumberFormat="1" applyFont="1" applyBorder="1"/>
    <xf numFmtId="9" fontId="11" fillId="0" borderId="1" xfId="1" applyFont="1" applyBorder="1"/>
    <xf numFmtId="9" fontId="2" fillId="0" borderId="1" xfId="0" applyNumberFormat="1" applyFont="1" applyBorder="1"/>
    <xf numFmtId="9" fontId="15" fillId="0" borderId="1" xfId="1" applyFont="1" applyBorder="1"/>
    <xf numFmtId="9" fontId="0" fillId="0" borderId="1" xfId="0" applyNumberFormat="1" applyBorder="1"/>
    <xf numFmtId="9" fontId="16" fillId="0" borderId="1" xfId="1" applyFont="1" applyBorder="1"/>
    <xf numFmtId="0" fontId="18" fillId="0" borderId="9" xfId="0" applyFont="1" applyBorder="1" applyAlignment="1">
      <alignment vertical="center"/>
    </xf>
    <xf numFmtId="0" fontId="6" fillId="0" borderId="10" xfId="0" applyFont="1" applyBorder="1"/>
    <xf numFmtId="0" fontId="7" fillId="0" borderId="7" xfId="0" applyFont="1" applyBorder="1" applyAlignment="1">
      <alignment vertical="center"/>
    </xf>
    <xf numFmtId="0" fontId="6" fillId="0" borderId="11" xfId="0" applyFont="1" applyBorder="1"/>
    <xf numFmtId="0" fontId="18" fillId="0" borderId="7" xfId="0" applyFont="1" applyBorder="1" applyAlignment="1">
      <alignment vertical="center"/>
    </xf>
    <xf numFmtId="0" fontId="5" fillId="0" borderId="13" xfId="0" applyFont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9" fillId="0" borderId="1" xfId="0" applyFont="1" applyBorder="1"/>
    <xf numFmtId="10" fontId="19" fillId="0" borderId="1" xfId="0" applyNumberFormat="1" applyFont="1" applyBorder="1"/>
    <xf numFmtId="0" fontId="9" fillId="0" borderId="1" xfId="0" applyFont="1" applyBorder="1" applyAlignment="1">
      <alignment horizontal="center"/>
    </xf>
    <xf numFmtId="9" fontId="20" fillId="0" borderId="1" xfId="1" applyFont="1" applyBorder="1"/>
    <xf numFmtId="9" fontId="9" fillId="0" borderId="1" xfId="0" applyNumberFormat="1" applyFont="1" applyBorder="1"/>
    <xf numFmtId="9" fontId="9" fillId="0" borderId="1" xfId="1" applyFont="1" applyBorder="1"/>
    <xf numFmtId="9" fontId="19" fillId="0" borderId="1" xfId="1" applyFont="1" applyBorder="1"/>
    <xf numFmtId="9" fontId="19" fillId="0" borderId="1" xfId="0" applyNumberFormat="1" applyFont="1" applyBorder="1"/>
    <xf numFmtId="10" fontId="21" fillId="0" borderId="1" xfId="0" applyNumberFormat="1" applyFont="1" applyBorder="1"/>
    <xf numFmtId="9" fontId="22" fillId="0" borderId="1" xfId="1" applyFont="1" applyBorder="1"/>
    <xf numFmtId="10" fontId="23" fillId="0" borderId="1" xfId="0" applyNumberFormat="1" applyFont="1" applyBorder="1"/>
    <xf numFmtId="9" fontId="24" fillId="0" borderId="1" xfId="1" applyFont="1" applyBorder="1"/>
    <xf numFmtId="0" fontId="3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9" fillId="0" borderId="1" xfId="0" applyNumberFormat="1" applyFont="1" applyBorder="1"/>
    <xf numFmtId="9" fontId="5" fillId="0" borderId="1" xfId="1" applyFont="1" applyBorder="1" applyAlignment="1">
      <alignment horizontal="center"/>
    </xf>
    <xf numFmtId="0" fontId="9" fillId="9" borderId="1" xfId="0" applyFont="1" applyFill="1" applyBorder="1"/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02AC-A680-4DDC-A333-D7886478BD79}">
  <dimension ref="A1:E37"/>
  <sheetViews>
    <sheetView showGridLines="0" zoomScale="85" zoomScaleNormal="85" workbookViewId="0">
      <selection activeCell="C19" sqref="C19"/>
    </sheetView>
  </sheetViews>
  <sheetFormatPr baseColWidth="10" defaultRowHeight="14.4" x14ac:dyDescent="0.3"/>
  <cols>
    <col min="1" max="1" width="40.6640625" bestFit="1" customWidth="1"/>
    <col min="2" max="2" width="44.6640625" bestFit="1" customWidth="1"/>
    <col min="3" max="3" width="117.109375" bestFit="1" customWidth="1"/>
    <col min="4" max="4" width="7" bestFit="1" customWidth="1"/>
  </cols>
  <sheetData>
    <row r="1" spans="1:5" ht="18" x14ac:dyDescent="0.35">
      <c r="A1" s="50" t="s">
        <v>23</v>
      </c>
      <c r="B1" s="50"/>
      <c r="C1" s="50"/>
      <c r="D1" s="50"/>
    </row>
    <row r="2" spans="1:5" x14ac:dyDescent="0.3">
      <c r="A2" s="2" t="s">
        <v>24</v>
      </c>
      <c r="B2" s="2" t="s">
        <v>25</v>
      </c>
      <c r="C2" s="2" t="s">
        <v>26</v>
      </c>
      <c r="D2" s="2" t="s">
        <v>27</v>
      </c>
      <c r="E2" s="37" t="s">
        <v>20</v>
      </c>
    </row>
    <row r="3" spans="1:5" ht="20.100000000000001" customHeight="1" x14ac:dyDescent="0.3">
      <c r="A3" s="51" t="s">
        <v>28</v>
      </c>
      <c r="B3" s="3" t="s">
        <v>29</v>
      </c>
      <c r="C3" s="4" t="s">
        <v>30</v>
      </c>
      <c r="D3" s="35">
        <v>1</v>
      </c>
      <c r="E3" s="73">
        <v>15</v>
      </c>
    </row>
    <row r="4" spans="1:5" ht="20.100000000000001" customHeight="1" x14ac:dyDescent="0.3">
      <c r="A4" s="51"/>
      <c r="B4" s="3" t="s">
        <v>31</v>
      </c>
      <c r="C4" s="4" t="s">
        <v>44</v>
      </c>
      <c r="D4" s="35">
        <v>4</v>
      </c>
      <c r="E4" s="74"/>
    </row>
    <row r="5" spans="1:5" ht="20.100000000000001" customHeight="1" x14ac:dyDescent="0.3">
      <c r="A5" s="51"/>
      <c r="B5" s="3" t="s">
        <v>32</v>
      </c>
      <c r="C5" s="4" t="s">
        <v>33</v>
      </c>
      <c r="D5" s="35">
        <v>3</v>
      </c>
      <c r="E5" s="74"/>
    </row>
    <row r="6" spans="1:5" ht="20.100000000000001" customHeight="1" x14ac:dyDescent="0.3">
      <c r="A6" s="51"/>
      <c r="B6" s="3" t="s">
        <v>49</v>
      </c>
      <c r="C6" s="10" t="s">
        <v>50</v>
      </c>
      <c r="D6" s="35">
        <v>2</v>
      </c>
      <c r="E6" s="74"/>
    </row>
    <row r="7" spans="1:5" ht="48.75" customHeight="1" x14ac:dyDescent="0.3">
      <c r="A7" s="51"/>
      <c r="B7" s="3" t="s">
        <v>70</v>
      </c>
      <c r="C7" s="4" t="s">
        <v>71</v>
      </c>
      <c r="D7" s="35">
        <v>5</v>
      </c>
      <c r="E7" s="75"/>
    </row>
    <row r="8" spans="1:5" ht="51" customHeight="1" x14ac:dyDescent="0.3">
      <c r="A8" s="52" t="s">
        <v>51</v>
      </c>
      <c r="B8" s="3" t="s">
        <v>52</v>
      </c>
      <c r="C8" s="4" t="s">
        <v>69</v>
      </c>
      <c r="D8" s="35">
        <v>7</v>
      </c>
      <c r="E8" s="69">
        <v>15</v>
      </c>
    </row>
    <row r="9" spans="1:5" ht="49.5" customHeight="1" x14ac:dyDescent="0.3">
      <c r="A9" s="53"/>
      <c r="B9" s="3" t="s">
        <v>53</v>
      </c>
      <c r="C9" s="4" t="s">
        <v>67</v>
      </c>
      <c r="D9" s="35">
        <v>4</v>
      </c>
      <c r="E9" s="70"/>
    </row>
    <row r="10" spans="1:5" ht="40.5" customHeight="1" x14ac:dyDescent="0.3">
      <c r="A10" s="54"/>
      <c r="B10" s="3" t="s">
        <v>54</v>
      </c>
      <c r="C10" s="4" t="s">
        <v>68</v>
      </c>
      <c r="D10" s="35">
        <v>4</v>
      </c>
      <c r="E10" s="70"/>
    </row>
    <row r="11" spans="1:5" ht="20.100000000000001" customHeight="1" x14ac:dyDescent="0.3">
      <c r="A11" s="55" t="s">
        <v>35</v>
      </c>
      <c r="B11" s="3" t="s">
        <v>36</v>
      </c>
      <c r="C11" s="4" t="s">
        <v>37</v>
      </c>
      <c r="D11" s="35">
        <v>7</v>
      </c>
      <c r="E11" s="69">
        <v>40</v>
      </c>
    </row>
    <row r="12" spans="1:5" ht="30.75" customHeight="1" x14ac:dyDescent="0.3">
      <c r="A12" s="56"/>
      <c r="B12" s="5" t="s">
        <v>38</v>
      </c>
      <c r="C12" s="4" t="s">
        <v>45</v>
      </c>
      <c r="D12" s="35">
        <v>12</v>
      </c>
      <c r="E12" s="70"/>
    </row>
    <row r="13" spans="1:5" ht="20.100000000000001" customHeight="1" x14ac:dyDescent="0.3">
      <c r="A13" s="57"/>
      <c r="B13" s="5" t="s">
        <v>39</v>
      </c>
      <c r="C13" s="4" t="s">
        <v>40</v>
      </c>
      <c r="D13" s="35">
        <v>5</v>
      </c>
      <c r="E13" s="70"/>
    </row>
    <row r="14" spans="1:5" ht="20.100000000000001" customHeight="1" x14ac:dyDescent="0.3">
      <c r="A14" s="57"/>
      <c r="B14" s="5" t="s">
        <v>41</v>
      </c>
      <c r="C14" s="4" t="s">
        <v>42</v>
      </c>
      <c r="D14" s="35">
        <v>8</v>
      </c>
      <c r="E14" s="70"/>
    </row>
    <row r="15" spans="1:5" ht="20.100000000000001" customHeight="1" x14ac:dyDescent="0.3">
      <c r="A15" s="58"/>
      <c r="B15" s="5" t="s">
        <v>46</v>
      </c>
      <c r="C15" s="4" t="s">
        <v>47</v>
      </c>
      <c r="D15" s="35">
        <v>8</v>
      </c>
      <c r="E15" s="71"/>
    </row>
    <row r="16" spans="1:5" ht="65.25" customHeight="1" x14ac:dyDescent="0.3">
      <c r="A16" s="66" t="s">
        <v>58</v>
      </c>
      <c r="B16" s="9" t="s">
        <v>55</v>
      </c>
      <c r="C16" s="11" t="s">
        <v>63</v>
      </c>
      <c r="D16" s="35">
        <v>8</v>
      </c>
      <c r="E16" s="69">
        <v>20</v>
      </c>
    </row>
    <row r="17" spans="1:5" ht="54" customHeight="1" x14ac:dyDescent="0.3">
      <c r="A17" s="67"/>
      <c r="B17" s="9" t="s">
        <v>56</v>
      </c>
      <c r="C17" s="4" t="s">
        <v>64</v>
      </c>
      <c r="D17" s="35">
        <v>5</v>
      </c>
      <c r="E17" s="70"/>
    </row>
    <row r="18" spans="1:5" ht="46.5" customHeight="1" x14ac:dyDescent="0.3">
      <c r="A18" s="68"/>
      <c r="B18" s="9" t="s">
        <v>57</v>
      </c>
      <c r="C18" s="4" t="s">
        <v>65</v>
      </c>
      <c r="D18" s="35">
        <v>7</v>
      </c>
      <c r="E18" s="71"/>
    </row>
    <row r="19" spans="1:5" ht="20.100000000000001" customHeight="1" x14ac:dyDescent="0.3">
      <c r="A19" s="63" t="s">
        <v>43</v>
      </c>
      <c r="B19" s="9" t="s">
        <v>59</v>
      </c>
      <c r="C19" s="4" t="s">
        <v>48</v>
      </c>
      <c r="D19" s="35">
        <v>5</v>
      </c>
      <c r="E19" s="72">
        <v>10</v>
      </c>
    </row>
    <row r="20" spans="1:5" ht="20.100000000000001" customHeight="1" x14ac:dyDescent="0.3">
      <c r="A20" s="64"/>
      <c r="B20" s="9" t="s">
        <v>60</v>
      </c>
      <c r="C20" s="4" t="s">
        <v>61</v>
      </c>
      <c r="D20" s="35">
        <v>3</v>
      </c>
      <c r="E20" s="72"/>
    </row>
    <row r="21" spans="1:5" ht="20.100000000000001" customHeight="1" x14ac:dyDescent="0.3">
      <c r="A21" s="65"/>
      <c r="B21" s="9" t="s">
        <v>62</v>
      </c>
      <c r="C21" s="4" t="s">
        <v>66</v>
      </c>
      <c r="D21" s="35">
        <v>2</v>
      </c>
      <c r="E21" s="72"/>
    </row>
    <row r="22" spans="1:5" ht="20.100000000000001" customHeight="1" x14ac:dyDescent="0.3">
      <c r="A22" s="6" t="s">
        <v>27</v>
      </c>
      <c r="B22" s="7"/>
      <c r="C22" s="8" t="s">
        <v>74</v>
      </c>
      <c r="D22" s="36">
        <v>100</v>
      </c>
      <c r="E22" s="16"/>
    </row>
    <row r="25" spans="1:5" ht="15" customHeight="1" x14ac:dyDescent="0.3">
      <c r="A25" s="63" t="s">
        <v>85</v>
      </c>
      <c r="B25" s="30" t="s">
        <v>78</v>
      </c>
      <c r="C25" s="31"/>
    </row>
    <row r="26" spans="1:5" x14ac:dyDescent="0.3">
      <c r="A26" s="64"/>
      <c r="B26" s="32" t="s">
        <v>86</v>
      </c>
      <c r="C26" s="33"/>
    </row>
    <row r="27" spans="1:5" x14ac:dyDescent="0.3">
      <c r="A27" s="64"/>
      <c r="B27" s="32" t="s">
        <v>87</v>
      </c>
      <c r="C27" s="33"/>
    </row>
    <row r="28" spans="1:5" x14ac:dyDescent="0.3">
      <c r="A28" s="64"/>
      <c r="B28" s="32" t="s">
        <v>88</v>
      </c>
      <c r="C28" s="33"/>
    </row>
    <row r="29" spans="1:5" x14ac:dyDescent="0.3">
      <c r="A29" s="64"/>
      <c r="B29" s="34" t="s">
        <v>77</v>
      </c>
      <c r="C29" s="33"/>
    </row>
    <row r="30" spans="1:5" x14ac:dyDescent="0.3">
      <c r="A30" s="64"/>
      <c r="B30" s="59" t="s">
        <v>89</v>
      </c>
      <c r="C30" s="60"/>
    </row>
    <row r="31" spans="1:5" x14ac:dyDescent="0.3">
      <c r="A31" s="64"/>
      <c r="B31" s="32" t="s">
        <v>90</v>
      </c>
      <c r="C31" s="33"/>
    </row>
    <row r="32" spans="1:5" x14ac:dyDescent="0.3">
      <c r="A32" s="64"/>
      <c r="B32" s="32" t="s">
        <v>91</v>
      </c>
      <c r="C32" s="33"/>
    </row>
    <row r="33" spans="1:3" x14ac:dyDescent="0.3">
      <c r="A33" s="64"/>
      <c r="B33" s="34" t="s">
        <v>76</v>
      </c>
      <c r="C33" s="33"/>
    </row>
    <row r="34" spans="1:3" x14ac:dyDescent="0.3">
      <c r="A34" s="64"/>
      <c r="B34" s="32" t="s">
        <v>92</v>
      </c>
      <c r="C34" s="33"/>
    </row>
    <row r="35" spans="1:3" x14ac:dyDescent="0.3">
      <c r="A35" s="64"/>
      <c r="B35" s="59" t="s">
        <v>93</v>
      </c>
      <c r="C35" s="60"/>
    </row>
    <row r="36" spans="1:3" x14ac:dyDescent="0.3">
      <c r="A36" s="64"/>
      <c r="B36" s="32" t="s">
        <v>94</v>
      </c>
      <c r="C36" s="33"/>
    </row>
    <row r="37" spans="1:3" x14ac:dyDescent="0.3">
      <c r="A37" s="65"/>
      <c r="B37" s="61" t="s">
        <v>95</v>
      </c>
      <c r="C37" s="62"/>
    </row>
  </sheetData>
  <mergeCells count="15">
    <mergeCell ref="E8:E10"/>
    <mergeCell ref="E11:E15"/>
    <mergeCell ref="E16:E18"/>
    <mergeCell ref="E19:E21"/>
    <mergeCell ref="E3:E7"/>
    <mergeCell ref="B35:C35"/>
    <mergeCell ref="B37:C37"/>
    <mergeCell ref="A25:A37"/>
    <mergeCell ref="A16:A18"/>
    <mergeCell ref="A19:A21"/>
    <mergeCell ref="A1:D1"/>
    <mergeCell ref="A3:A7"/>
    <mergeCell ref="A8:A10"/>
    <mergeCell ref="A11:A15"/>
    <mergeCell ref="B30:C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B46E-DD75-4FC6-80AE-03358C0EDCBE}">
  <dimension ref="A1:AD34"/>
  <sheetViews>
    <sheetView showGridLines="0" zoomScaleNormal="100" workbookViewId="0">
      <selection activeCell="B3" sqref="B3"/>
    </sheetView>
  </sheetViews>
  <sheetFormatPr baseColWidth="10" defaultRowHeight="14.4" x14ac:dyDescent="0.3"/>
  <cols>
    <col min="1" max="1" width="23.33203125" bestFit="1" customWidth="1"/>
    <col min="2" max="2" width="13.44140625" bestFit="1" customWidth="1"/>
    <col min="3" max="3" width="15.88671875" hidden="1" customWidth="1"/>
    <col min="4" max="4" width="27.109375" hidden="1" customWidth="1"/>
    <col min="5" max="5" width="24.6640625" hidden="1" customWidth="1"/>
    <col min="6" max="6" width="38.88671875" hidden="1" customWidth="1"/>
    <col min="7" max="8" width="24.6640625" hidden="1" customWidth="1"/>
    <col min="9" max="9" width="46.44140625" hidden="1" customWidth="1"/>
    <col min="10" max="10" width="33.6640625" hidden="1" customWidth="1"/>
    <col min="11" max="16" width="24.6640625" hidden="1" customWidth="1"/>
    <col min="17" max="17" width="35.109375" hidden="1" customWidth="1"/>
    <col min="18" max="18" width="52.88671875" hidden="1" customWidth="1"/>
    <col min="19" max="19" width="36.33203125" hidden="1" customWidth="1"/>
    <col min="20" max="20" width="24.6640625" hidden="1" customWidth="1"/>
    <col min="21" max="21" width="32.44140625" hidden="1" customWidth="1"/>
    <col min="22" max="22" width="10" hidden="1" customWidth="1"/>
    <col min="23" max="23" width="12" bestFit="1" customWidth="1"/>
    <col min="24" max="24" width="12.88671875" bestFit="1" customWidth="1"/>
    <col min="25" max="28" width="11" bestFit="1" customWidth="1"/>
    <col min="29" max="29" width="31.44140625" customWidth="1"/>
    <col min="30" max="30" width="29.44140625" customWidth="1"/>
  </cols>
  <sheetData>
    <row r="1" spans="1:30" s="14" customFormat="1" ht="22.5" customHeight="1" x14ac:dyDescent="0.3">
      <c r="A1" s="15" t="s">
        <v>22</v>
      </c>
      <c r="B1" s="15" t="s">
        <v>0</v>
      </c>
      <c r="C1" s="15" t="s">
        <v>29</v>
      </c>
      <c r="D1" s="15" t="s">
        <v>31</v>
      </c>
      <c r="E1" s="15" t="s">
        <v>32</v>
      </c>
      <c r="F1" s="15" t="s">
        <v>49</v>
      </c>
      <c r="G1" s="15" t="s">
        <v>34</v>
      </c>
      <c r="H1" s="15" t="s">
        <v>52</v>
      </c>
      <c r="I1" s="15" t="s">
        <v>53</v>
      </c>
      <c r="J1" s="15" t="s">
        <v>54</v>
      </c>
      <c r="K1" s="15" t="s">
        <v>36</v>
      </c>
      <c r="L1" s="15" t="s">
        <v>38</v>
      </c>
      <c r="M1" s="15" t="s">
        <v>39</v>
      </c>
      <c r="N1" s="15" t="s">
        <v>41</v>
      </c>
      <c r="O1" s="15" t="s">
        <v>46</v>
      </c>
      <c r="P1" s="15" t="s">
        <v>55</v>
      </c>
      <c r="Q1" s="15" t="s">
        <v>56</v>
      </c>
      <c r="R1" s="15" t="s">
        <v>57</v>
      </c>
      <c r="S1" s="15" t="s">
        <v>59</v>
      </c>
      <c r="T1" s="15" t="s">
        <v>60</v>
      </c>
      <c r="U1" s="15" t="s">
        <v>62</v>
      </c>
      <c r="V1" s="15" t="s">
        <v>20</v>
      </c>
      <c r="W1" s="15" t="s">
        <v>73</v>
      </c>
      <c r="X1" s="15" t="s">
        <v>75</v>
      </c>
      <c r="Y1" s="17" t="s">
        <v>82</v>
      </c>
      <c r="Z1" s="17" t="s">
        <v>83</v>
      </c>
      <c r="AA1" s="17" t="s">
        <v>80</v>
      </c>
      <c r="AB1" s="17" t="s">
        <v>81</v>
      </c>
      <c r="AC1" s="18" t="s">
        <v>79</v>
      </c>
      <c r="AD1" s="18" t="s">
        <v>84</v>
      </c>
    </row>
    <row r="2" spans="1:30" x14ac:dyDescent="0.3">
      <c r="A2" s="12" t="s">
        <v>19</v>
      </c>
      <c r="B2" s="19">
        <v>0.16669999999999999</v>
      </c>
      <c r="C2" s="12">
        <v>1</v>
      </c>
      <c r="D2" s="12">
        <v>2</v>
      </c>
      <c r="E2" s="12">
        <v>2</v>
      </c>
      <c r="F2" s="12">
        <v>2</v>
      </c>
      <c r="G2" s="12">
        <v>2</v>
      </c>
      <c r="H2" s="12">
        <v>2</v>
      </c>
      <c r="I2" s="12">
        <v>2.5</v>
      </c>
      <c r="J2" s="12">
        <v>4</v>
      </c>
      <c r="K2" s="12">
        <v>2.5</v>
      </c>
      <c r="L2" s="12">
        <v>4</v>
      </c>
      <c r="M2" s="12">
        <v>2.5</v>
      </c>
      <c r="N2" s="12">
        <v>8</v>
      </c>
      <c r="O2" s="12">
        <v>4</v>
      </c>
      <c r="P2" s="12">
        <v>3</v>
      </c>
      <c r="Q2" s="12">
        <v>3</v>
      </c>
      <c r="R2" s="12">
        <v>4</v>
      </c>
      <c r="S2" s="12">
        <v>2.5</v>
      </c>
      <c r="T2" s="12" t="s">
        <v>72</v>
      </c>
      <c r="U2" s="12" t="s">
        <v>72</v>
      </c>
      <c r="V2" s="13">
        <f t="shared" ref="V2:V20" si="0">+SUM(C2:U2)</f>
        <v>51</v>
      </c>
      <c r="W2" s="20">
        <f>+V2/100</f>
        <v>0.51</v>
      </c>
      <c r="X2" s="12" t="s">
        <v>76</v>
      </c>
      <c r="Y2" s="24">
        <v>0.25</v>
      </c>
      <c r="Z2" s="24">
        <v>0.5</v>
      </c>
      <c r="AA2" s="24">
        <v>0.75</v>
      </c>
      <c r="AB2" s="21">
        <v>1</v>
      </c>
      <c r="AC2" s="25">
        <f>+B2-AA2</f>
        <v>-0.58330000000000004</v>
      </c>
      <c r="AD2" s="26">
        <f>+B2-AB2</f>
        <v>-0.83330000000000004</v>
      </c>
    </row>
    <row r="3" spans="1:30" x14ac:dyDescent="0.3">
      <c r="A3" s="12" t="s">
        <v>18</v>
      </c>
      <c r="B3" s="19">
        <v>0.25</v>
      </c>
      <c r="C3" s="12">
        <v>1</v>
      </c>
      <c r="D3" s="12">
        <v>2</v>
      </c>
      <c r="E3" s="12">
        <v>3</v>
      </c>
      <c r="F3" s="12">
        <v>2</v>
      </c>
      <c r="G3" s="12">
        <v>2</v>
      </c>
      <c r="H3" s="12">
        <v>3</v>
      </c>
      <c r="I3" s="12">
        <v>2</v>
      </c>
      <c r="J3" s="12">
        <v>4</v>
      </c>
      <c r="K3" s="12">
        <v>3</v>
      </c>
      <c r="L3" s="12">
        <v>4</v>
      </c>
      <c r="M3" s="12">
        <v>3</v>
      </c>
      <c r="N3" s="12">
        <v>8</v>
      </c>
      <c r="O3" s="12">
        <v>5</v>
      </c>
      <c r="P3" s="12">
        <v>5</v>
      </c>
      <c r="Q3" s="12">
        <v>4</v>
      </c>
      <c r="R3" s="12">
        <v>4</v>
      </c>
      <c r="S3" s="12">
        <v>3</v>
      </c>
      <c r="T3" s="12" t="s">
        <v>72</v>
      </c>
      <c r="U3" s="12" t="s">
        <v>72</v>
      </c>
      <c r="V3" s="13">
        <f t="shared" si="0"/>
        <v>58</v>
      </c>
      <c r="W3" s="20">
        <f t="shared" ref="W3:W20" si="1">+V3/100</f>
        <v>0.57999999999999996</v>
      </c>
      <c r="X3" s="12" t="s">
        <v>76</v>
      </c>
      <c r="Y3" s="24">
        <v>0.25</v>
      </c>
      <c r="Z3" s="24">
        <v>0.5</v>
      </c>
      <c r="AA3" s="24">
        <v>0.75</v>
      </c>
      <c r="AB3" s="21">
        <v>1</v>
      </c>
      <c r="AC3" s="25">
        <f t="shared" ref="AC3:AC20" si="2">+B3-AA3</f>
        <v>-0.5</v>
      </c>
      <c r="AD3" s="26">
        <f t="shared" ref="AD3:AD20" si="3">+B3-AB3</f>
        <v>-0.75</v>
      </c>
    </row>
    <row r="4" spans="1:30" x14ac:dyDescent="0.3">
      <c r="A4" s="12" t="s">
        <v>11</v>
      </c>
      <c r="B4" s="19">
        <v>0.29289999999999999</v>
      </c>
      <c r="C4" s="12">
        <v>1</v>
      </c>
      <c r="D4" s="12">
        <v>3</v>
      </c>
      <c r="E4" s="12">
        <v>3</v>
      </c>
      <c r="F4" s="12">
        <v>2</v>
      </c>
      <c r="G4" s="12">
        <v>2</v>
      </c>
      <c r="H4" s="12">
        <v>3</v>
      </c>
      <c r="I4" s="12">
        <v>2</v>
      </c>
      <c r="J4" s="12">
        <v>4</v>
      </c>
      <c r="K4" s="12">
        <v>4</v>
      </c>
      <c r="L4" s="12">
        <v>5</v>
      </c>
      <c r="M4" s="12">
        <v>3</v>
      </c>
      <c r="N4" s="12">
        <v>8</v>
      </c>
      <c r="O4" s="12">
        <v>4</v>
      </c>
      <c r="P4" s="12">
        <v>4</v>
      </c>
      <c r="Q4" s="12">
        <v>3</v>
      </c>
      <c r="R4" s="12">
        <v>4</v>
      </c>
      <c r="S4" s="12">
        <v>3</v>
      </c>
      <c r="T4" s="12" t="s">
        <v>72</v>
      </c>
      <c r="U4" s="12" t="s">
        <v>72</v>
      </c>
      <c r="V4" s="13">
        <f t="shared" si="0"/>
        <v>58</v>
      </c>
      <c r="W4" s="20">
        <f t="shared" si="1"/>
        <v>0.57999999999999996</v>
      </c>
      <c r="X4" s="12" t="s">
        <v>76</v>
      </c>
      <c r="Y4" s="24">
        <v>0.25</v>
      </c>
      <c r="Z4" s="24">
        <v>0.5</v>
      </c>
      <c r="AA4" s="24">
        <v>0.75</v>
      </c>
      <c r="AB4" s="21">
        <v>1</v>
      </c>
      <c r="AC4" s="25">
        <f t="shared" si="2"/>
        <v>-0.45710000000000001</v>
      </c>
      <c r="AD4" s="26">
        <f t="shared" si="3"/>
        <v>-0.70710000000000006</v>
      </c>
    </row>
    <row r="5" spans="1:30" x14ac:dyDescent="0.3">
      <c r="A5" s="12" t="s">
        <v>16</v>
      </c>
      <c r="B5" s="19">
        <v>0.34449999999999997</v>
      </c>
      <c r="C5" s="12">
        <v>1</v>
      </c>
      <c r="D5" s="12">
        <v>2</v>
      </c>
      <c r="E5" s="12">
        <v>3</v>
      </c>
      <c r="F5" s="12">
        <v>2</v>
      </c>
      <c r="G5" s="12">
        <v>2</v>
      </c>
      <c r="H5" s="12">
        <v>2</v>
      </c>
      <c r="I5" s="12">
        <v>3</v>
      </c>
      <c r="J5" s="12">
        <v>4</v>
      </c>
      <c r="K5" s="12">
        <v>3</v>
      </c>
      <c r="L5" s="12">
        <v>4</v>
      </c>
      <c r="M5" s="12">
        <v>3.5</v>
      </c>
      <c r="N5" s="12">
        <v>8</v>
      </c>
      <c r="O5" s="12">
        <v>5</v>
      </c>
      <c r="P5" s="12">
        <v>5</v>
      </c>
      <c r="Q5" s="12">
        <v>4</v>
      </c>
      <c r="R5" s="12">
        <v>3.5</v>
      </c>
      <c r="S5" s="12">
        <v>2.5</v>
      </c>
      <c r="T5" s="12" t="s">
        <v>72</v>
      </c>
      <c r="U5" s="12" t="s">
        <v>72</v>
      </c>
      <c r="V5" s="13">
        <f t="shared" si="0"/>
        <v>57.5</v>
      </c>
      <c r="W5" s="20">
        <f t="shared" si="1"/>
        <v>0.57499999999999996</v>
      </c>
      <c r="X5" s="12" t="s">
        <v>76</v>
      </c>
      <c r="Y5" s="24">
        <v>0.25</v>
      </c>
      <c r="Z5" s="24">
        <v>0.5</v>
      </c>
      <c r="AA5" s="24">
        <v>0.75</v>
      </c>
      <c r="AB5" s="21">
        <v>1</v>
      </c>
      <c r="AC5" s="25">
        <f t="shared" si="2"/>
        <v>-0.40550000000000003</v>
      </c>
      <c r="AD5" s="26">
        <f t="shared" si="3"/>
        <v>-0.65549999999999997</v>
      </c>
    </row>
    <row r="6" spans="1:30" x14ac:dyDescent="0.3">
      <c r="A6" s="12" t="s">
        <v>2</v>
      </c>
      <c r="B6" s="19">
        <v>0.38159999999999999</v>
      </c>
      <c r="C6" s="12">
        <v>1</v>
      </c>
      <c r="D6" s="12">
        <v>2</v>
      </c>
      <c r="E6" s="12">
        <v>3</v>
      </c>
      <c r="F6" s="12">
        <v>2</v>
      </c>
      <c r="G6" s="12">
        <v>2</v>
      </c>
      <c r="H6" s="12">
        <v>3</v>
      </c>
      <c r="I6" s="12">
        <v>2</v>
      </c>
      <c r="J6" s="12">
        <v>4</v>
      </c>
      <c r="K6" s="12">
        <v>3</v>
      </c>
      <c r="L6" s="12">
        <v>3</v>
      </c>
      <c r="M6" s="12">
        <v>3</v>
      </c>
      <c r="N6" s="12">
        <v>8</v>
      </c>
      <c r="O6" s="12">
        <v>5</v>
      </c>
      <c r="P6" s="12">
        <v>5</v>
      </c>
      <c r="Q6" s="12">
        <v>4</v>
      </c>
      <c r="R6" s="12">
        <v>4</v>
      </c>
      <c r="S6" s="12">
        <v>3</v>
      </c>
      <c r="T6" s="12" t="s">
        <v>72</v>
      </c>
      <c r="U6" s="12" t="s">
        <v>72</v>
      </c>
      <c r="V6" s="13">
        <f t="shared" si="0"/>
        <v>57</v>
      </c>
      <c r="W6" s="20">
        <f t="shared" si="1"/>
        <v>0.56999999999999995</v>
      </c>
      <c r="X6" s="12" t="s">
        <v>76</v>
      </c>
      <c r="Y6" s="24">
        <v>0.25</v>
      </c>
      <c r="Z6" s="24">
        <v>0.5</v>
      </c>
      <c r="AA6" s="24">
        <v>0.75</v>
      </c>
      <c r="AB6" s="21">
        <v>1</v>
      </c>
      <c r="AC6" s="25">
        <f t="shared" si="2"/>
        <v>-0.36840000000000001</v>
      </c>
      <c r="AD6" s="26">
        <f t="shared" si="3"/>
        <v>-0.61840000000000006</v>
      </c>
    </row>
    <row r="7" spans="1:30" x14ac:dyDescent="0.3">
      <c r="A7" s="12" t="s">
        <v>15</v>
      </c>
      <c r="B7" s="19">
        <v>0.39290000000000003</v>
      </c>
      <c r="C7" s="12">
        <v>1</v>
      </c>
      <c r="D7" s="12">
        <v>2</v>
      </c>
      <c r="E7" s="12">
        <v>3</v>
      </c>
      <c r="F7" s="12">
        <v>2</v>
      </c>
      <c r="G7" s="12">
        <v>3</v>
      </c>
      <c r="H7" s="12">
        <v>3</v>
      </c>
      <c r="I7" s="12">
        <v>2</v>
      </c>
      <c r="J7" s="12">
        <v>4</v>
      </c>
      <c r="K7" s="12">
        <v>4</v>
      </c>
      <c r="L7" s="12">
        <v>4</v>
      </c>
      <c r="M7" s="12">
        <v>3</v>
      </c>
      <c r="N7" s="12">
        <v>8</v>
      </c>
      <c r="O7" s="12">
        <v>4.5</v>
      </c>
      <c r="P7" s="12">
        <v>5</v>
      </c>
      <c r="Q7" s="12">
        <v>3.5</v>
      </c>
      <c r="R7" s="12">
        <v>4.5</v>
      </c>
      <c r="S7" s="12">
        <v>3</v>
      </c>
      <c r="T7" s="12" t="s">
        <v>72</v>
      </c>
      <c r="U7" s="12" t="s">
        <v>72</v>
      </c>
      <c r="V7" s="13">
        <f t="shared" si="0"/>
        <v>59.5</v>
      </c>
      <c r="W7" s="20">
        <f t="shared" si="1"/>
        <v>0.59499999999999997</v>
      </c>
      <c r="X7" s="12" t="s">
        <v>76</v>
      </c>
      <c r="Y7" s="24">
        <v>0.25</v>
      </c>
      <c r="Z7" s="24">
        <v>0.5</v>
      </c>
      <c r="AA7" s="24">
        <v>0.75</v>
      </c>
      <c r="AB7" s="21">
        <v>1</v>
      </c>
      <c r="AC7" s="25">
        <f t="shared" si="2"/>
        <v>-0.35709999999999997</v>
      </c>
      <c r="AD7" s="26">
        <f t="shared" si="3"/>
        <v>-0.60709999999999997</v>
      </c>
    </row>
    <row r="8" spans="1:30" x14ac:dyDescent="0.3">
      <c r="A8" s="12" t="s">
        <v>12</v>
      </c>
      <c r="B8" s="19">
        <v>0.41670000000000001</v>
      </c>
      <c r="C8" s="12">
        <v>1</v>
      </c>
      <c r="D8" s="12">
        <v>2</v>
      </c>
      <c r="E8" s="12">
        <v>3</v>
      </c>
      <c r="F8" s="12">
        <v>2</v>
      </c>
      <c r="G8" s="12">
        <v>2</v>
      </c>
      <c r="H8" s="12">
        <v>3</v>
      </c>
      <c r="I8" s="12">
        <v>2.5</v>
      </c>
      <c r="J8" s="12">
        <v>4</v>
      </c>
      <c r="K8" s="12">
        <v>2.5</v>
      </c>
      <c r="L8" s="12">
        <v>3</v>
      </c>
      <c r="M8" s="12">
        <v>3</v>
      </c>
      <c r="N8" s="12">
        <v>8</v>
      </c>
      <c r="O8" s="12">
        <v>4.5</v>
      </c>
      <c r="P8" s="12">
        <v>5</v>
      </c>
      <c r="Q8" s="12">
        <v>3.5</v>
      </c>
      <c r="R8" s="12">
        <v>4</v>
      </c>
      <c r="S8" s="12">
        <v>3.5</v>
      </c>
      <c r="T8" s="12" t="s">
        <v>72</v>
      </c>
      <c r="U8" s="12" t="s">
        <v>72</v>
      </c>
      <c r="V8" s="13">
        <f t="shared" si="0"/>
        <v>56.5</v>
      </c>
      <c r="W8" s="20">
        <f t="shared" si="1"/>
        <v>0.56499999999999995</v>
      </c>
      <c r="X8" s="12" t="s">
        <v>76</v>
      </c>
      <c r="Y8" s="24">
        <v>0.25</v>
      </c>
      <c r="Z8" s="24">
        <v>0.5</v>
      </c>
      <c r="AA8" s="24">
        <v>0.75</v>
      </c>
      <c r="AB8" s="21">
        <v>1</v>
      </c>
      <c r="AC8" s="25">
        <f t="shared" si="2"/>
        <v>-0.33329999999999999</v>
      </c>
      <c r="AD8" s="26">
        <f t="shared" si="3"/>
        <v>-0.58329999999999993</v>
      </c>
    </row>
    <row r="9" spans="1:30" x14ac:dyDescent="0.3">
      <c r="A9" s="12" t="s">
        <v>6</v>
      </c>
      <c r="B9" s="19">
        <v>0.44869999999999999</v>
      </c>
      <c r="C9" s="12">
        <v>1</v>
      </c>
      <c r="D9" s="12">
        <v>3</v>
      </c>
      <c r="E9" s="12">
        <v>3</v>
      </c>
      <c r="F9" s="12">
        <v>2</v>
      </c>
      <c r="G9" s="12">
        <v>3</v>
      </c>
      <c r="H9" s="12">
        <v>3</v>
      </c>
      <c r="I9" s="12">
        <v>2.5</v>
      </c>
      <c r="J9" s="12">
        <v>4</v>
      </c>
      <c r="K9" s="12">
        <v>3</v>
      </c>
      <c r="L9" s="12">
        <v>4</v>
      </c>
      <c r="M9" s="12">
        <v>3</v>
      </c>
      <c r="N9" s="12">
        <v>8</v>
      </c>
      <c r="O9" s="12">
        <v>4.5</v>
      </c>
      <c r="P9" s="12">
        <v>5</v>
      </c>
      <c r="Q9" s="12">
        <v>3.5</v>
      </c>
      <c r="R9" s="12">
        <v>3.5</v>
      </c>
      <c r="S9" s="12">
        <v>3.5</v>
      </c>
      <c r="T9" s="12" t="s">
        <v>72</v>
      </c>
      <c r="U9" s="12" t="s">
        <v>72</v>
      </c>
      <c r="V9" s="13">
        <f t="shared" si="0"/>
        <v>59.5</v>
      </c>
      <c r="W9" s="20">
        <f t="shared" si="1"/>
        <v>0.59499999999999997</v>
      </c>
      <c r="X9" s="12" t="s">
        <v>76</v>
      </c>
      <c r="Y9" s="24">
        <v>0.25</v>
      </c>
      <c r="Z9" s="24">
        <v>0.5</v>
      </c>
      <c r="AA9" s="24">
        <v>0.75</v>
      </c>
      <c r="AB9" s="21">
        <v>1</v>
      </c>
      <c r="AC9" s="25">
        <f t="shared" si="2"/>
        <v>-0.30130000000000001</v>
      </c>
      <c r="AD9" s="26">
        <f t="shared" si="3"/>
        <v>-0.55130000000000001</v>
      </c>
    </row>
    <row r="10" spans="1:30" x14ac:dyDescent="0.3">
      <c r="A10" s="12" t="s">
        <v>14</v>
      </c>
      <c r="B10" s="19">
        <v>0.45879999999999999</v>
      </c>
      <c r="C10" s="12">
        <v>1</v>
      </c>
      <c r="D10" s="12">
        <v>2.5</v>
      </c>
      <c r="E10" s="12">
        <v>2.5</v>
      </c>
      <c r="F10" s="12">
        <v>2</v>
      </c>
      <c r="G10" s="12">
        <v>2.5</v>
      </c>
      <c r="H10" s="12">
        <v>3</v>
      </c>
      <c r="I10" s="12">
        <v>2.5</v>
      </c>
      <c r="J10" s="12">
        <v>4</v>
      </c>
      <c r="K10" s="12">
        <v>2.5</v>
      </c>
      <c r="L10" s="12">
        <v>5</v>
      </c>
      <c r="M10" s="12">
        <v>3</v>
      </c>
      <c r="N10" s="12">
        <v>8</v>
      </c>
      <c r="O10" s="12">
        <v>6</v>
      </c>
      <c r="P10" s="12">
        <v>5</v>
      </c>
      <c r="Q10" s="12">
        <v>3.5</v>
      </c>
      <c r="R10" s="12">
        <v>3</v>
      </c>
      <c r="S10" s="12">
        <v>3</v>
      </c>
      <c r="T10" s="12" t="s">
        <v>72</v>
      </c>
      <c r="U10" s="12" t="s">
        <v>72</v>
      </c>
      <c r="V10" s="13">
        <f t="shared" si="0"/>
        <v>59</v>
      </c>
      <c r="W10" s="21">
        <f t="shared" si="1"/>
        <v>0.59</v>
      </c>
      <c r="X10" s="12" t="s">
        <v>76</v>
      </c>
      <c r="Y10" s="24">
        <v>0.25</v>
      </c>
      <c r="Z10" s="24">
        <v>0.5</v>
      </c>
      <c r="AA10" s="24">
        <v>0.75</v>
      </c>
      <c r="AB10" s="21">
        <v>1</v>
      </c>
      <c r="AC10" s="25">
        <f t="shared" si="2"/>
        <v>-0.29120000000000001</v>
      </c>
      <c r="AD10" s="26">
        <f t="shared" si="3"/>
        <v>-0.54120000000000001</v>
      </c>
    </row>
    <row r="11" spans="1:30" x14ac:dyDescent="0.3">
      <c r="A11" s="12" t="s">
        <v>4</v>
      </c>
      <c r="B11" s="22">
        <v>0.5161</v>
      </c>
      <c r="C11" s="12">
        <v>1</v>
      </c>
      <c r="D11" s="12">
        <v>3</v>
      </c>
      <c r="E11" s="12">
        <v>3</v>
      </c>
      <c r="F11" s="12">
        <v>2</v>
      </c>
      <c r="G11" s="12">
        <v>3</v>
      </c>
      <c r="H11" s="12">
        <v>5</v>
      </c>
      <c r="I11" s="12">
        <v>3</v>
      </c>
      <c r="J11" s="12">
        <v>4</v>
      </c>
      <c r="K11" s="12">
        <v>4</v>
      </c>
      <c r="L11" s="12">
        <v>4</v>
      </c>
      <c r="M11" s="12">
        <v>4</v>
      </c>
      <c r="N11" s="12">
        <v>8</v>
      </c>
      <c r="O11" s="12">
        <v>6</v>
      </c>
      <c r="P11" s="12">
        <v>5</v>
      </c>
      <c r="Q11" s="12">
        <v>5</v>
      </c>
      <c r="R11" s="12">
        <v>6</v>
      </c>
      <c r="S11" s="12">
        <v>4</v>
      </c>
      <c r="T11" s="12" t="s">
        <v>72</v>
      </c>
      <c r="U11" s="12" t="s">
        <v>72</v>
      </c>
      <c r="V11" s="13">
        <f t="shared" si="0"/>
        <v>70</v>
      </c>
      <c r="W11" s="21">
        <f t="shared" si="1"/>
        <v>0.7</v>
      </c>
      <c r="X11" s="12" t="s">
        <v>77</v>
      </c>
      <c r="Y11" s="24">
        <v>0.25</v>
      </c>
      <c r="Z11" s="24">
        <v>0.5</v>
      </c>
      <c r="AA11" s="24">
        <v>0.75</v>
      </c>
      <c r="AB11" s="21">
        <v>1</v>
      </c>
      <c r="AC11" s="27">
        <f t="shared" si="2"/>
        <v>-0.2339</v>
      </c>
      <c r="AD11" s="26">
        <f t="shared" si="3"/>
        <v>-0.4839</v>
      </c>
    </row>
    <row r="12" spans="1:30" x14ac:dyDescent="0.3">
      <c r="A12" s="12" t="s">
        <v>13</v>
      </c>
      <c r="B12" s="22">
        <v>0.52170000000000005</v>
      </c>
      <c r="C12" s="12">
        <v>1</v>
      </c>
      <c r="D12" s="12">
        <v>3</v>
      </c>
      <c r="E12" s="12">
        <v>3</v>
      </c>
      <c r="F12" s="12">
        <v>2</v>
      </c>
      <c r="G12" s="12">
        <v>3</v>
      </c>
      <c r="H12" s="12">
        <v>4.5</v>
      </c>
      <c r="I12" s="12">
        <v>3</v>
      </c>
      <c r="J12" s="12">
        <v>4</v>
      </c>
      <c r="K12" s="12">
        <v>4</v>
      </c>
      <c r="L12" s="12">
        <v>5</v>
      </c>
      <c r="M12" s="12">
        <v>4</v>
      </c>
      <c r="N12" s="12">
        <v>8</v>
      </c>
      <c r="O12" s="12">
        <v>6</v>
      </c>
      <c r="P12" s="12">
        <v>5</v>
      </c>
      <c r="Q12" s="12">
        <v>5</v>
      </c>
      <c r="R12" s="12">
        <v>6</v>
      </c>
      <c r="S12" s="12">
        <v>3</v>
      </c>
      <c r="T12" s="12" t="s">
        <v>72</v>
      </c>
      <c r="U12" s="12" t="s">
        <v>72</v>
      </c>
      <c r="V12" s="13">
        <f t="shared" si="0"/>
        <v>69.5</v>
      </c>
      <c r="W12" s="21">
        <f t="shared" si="1"/>
        <v>0.69499999999999995</v>
      </c>
      <c r="X12" s="12" t="s">
        <v>77</v>
      </c>
      <c r="Y12" s="24">
        <v>0.25</v>
      </c>
      <c r="Z12" s="24">
        <v>0.5</v>
      </c>
      <c r="AA12" s="24">
        <v>0.75</v>
      </c>
      <c r="AB12" s="21">
        <v>1</v>
      </c>
      <c r="AC12" s="27">
        <f t="shared" si="2"/>
        <v>-0.22829999999999995</v>
      </c>
      <c r="AD12" s="26">
        <f t="shared" si="3"/>
        <v>-0.47829999999999995</v>
      </c>
    </row>
    <row r="13" spans="1:30" x14ac:dyDescent="0.3">
      <c r="A13" s="12" t="s">
        <v>9</v>
      </c>
      <c r="B13" s="22">
        <v>0.53210000000000002</v>
      </c>
      <c r="C13" s="12">
        <v>1</v>
      </c>
      <c r="D13" s="12">
        <v>3</v>
      </c>
      <c r="E13" s="12">
        <v>3</v>
      </c>
      <c r="F13" s="12">
        <v>2</v>
      </c>
      <c r="G13" s="12">
        <v>3</v>
      </c>
      <c r="H13" s="12">
        <v>3</v>
      </c>
      <c r="I13" s="12">
        <v>3</v>
      </c>
      <c r="J13" s="12">
        <v>4</v>
      </c>
      <c r="K13" s="12">
        <v>3</v>
      </c>
      <c r="L13" s="12">
        <v>5</v>
      </c>
      <c r="M13" s="12">
        <v>4</v>
      </c>
      <c r="N13" s="12">
        <v>8</v>
      </c>
      <c r="O13" s="12">
        <v>6</v>
      </c>
      <c r="P13" s="12">
        <v>5</v>
      </c>
      <c r="Q13" s="12">
        <v>5</v>
      </c>
      <c r="R13" s="12">
        <v>6</v>
      </c>
      <c r="S13" s="12">
        <v>4</v>
      </c>
      <c r="T13" s="12" t="s">
        <v>72</v>
      </c>
      <c r="U13" s="12" t="s">
        <v>72</v>
      </c>
      <c r="V13" s="13">
        <f t="shared" si="0"/>
        <v>68</v>
      </c>
      <c r="W13" s="21">
        <f t="shared" si="1"/>
        <v>0.68</v>
      </c>
      <c r="X13" s="12" t="s">
        <v>77</v>
      </c>
      <c r="Y13" s="24">
        <v>0.25</v>
      </c>
      <c r="Z13" s="24">
        <v>0.5</v>
      </c>
      <c r="AA13" s="24">
        <v>0.75</v>
      </c>
      <c r="AB13" s="21">
        <v>1</v>
      </c>
      <c r="AC13" s="27">
        <f t="shared" si="2"/>
        <v>-0.21789999999999998</v>
      </c>
      <c r="AD13" s="26">
        <f t="shared" si="3"/>
        <v>-0.46789999999999998</v>
      </c>
    </row>
    <row r="14" spans="1:30" x14ac:dyDescent="0.3">
      <c r="A14" s="12" t="s">
        <v>5</v>
      </c>
      <c r="B14" s="22">
        <v>0.54290000000000005</v>
      </c>
      <c r="C14" s="12">
        <v>1</v>
      </c>
      <c r="D14" s="12">
        <v>3</v>
      </c>
      <c r="E14" s="12">
        <v>3</v>
      </c>
      <c r="F14" s="12">
        <v>2</v>
      </c>
      <c r="G14" s="12">
        <v>3.5</v>
      </c>
      <c r="H14" s="12">
        <v>4</v>
      </c>
      <c r="I14" s="12">
        <v>3.5</v>
      </c>
      <c r="J14" s="12">
        <v>4</v>
      </c>
      <c r="K14" s="12">
        <v>3.5</v>
      </c>
      <c r="L14" s="12">
        <v>5</v>
      </c>
      <c r="M14" s="12">
        <v>3</v>
      </c>
      <c r="N14" s="12">
        <v>8</v>
      </c>
      <c r="O14" s="12">
        <v>5</v>
      </c>
      <c r="P14" s="12">
        <v>5</v>
      </c>
      <c r="Q14" s="12">
        <v>5</v>
      </c>
      <c r="R14" s="12">
        <v>6</v>
      </c>
      <c r="S14" s="12">
        <v>3</v>
      </c>
      <c r="T14" s="12" t="s">
        <v>72</v>
      </c>
      <c r="U14" s="12" t="s">
        <v>72</v>
      </c>
      <c r="V14" s="13">
        <f t="shared" si="0"/>
        <v>67.5</v>
      </c>
      <c r="W14" s="21">
        <f t="shared" si="1"/>
        <v>0.67500000000000004</v>
      </c>
      <c r="X14" s="12" t="s">
        <v>77</v>
      </c>
      <c r="Y14" s="24">
        <v>0.25</v>
      </c>
      <c r="Z14" s="24">
        <v>0.5</v>
      </c>
      <c r="AA14" s="24">
        <v>0.75</v>
      </c>
      <c r="AB14" s="21">
        <v>1</v>
      </c>
      <c r="AC14" s="27">
        <f t="shared" si="2"/>
        <v>-0.20709999999999995</v>
      </c>
      <c r="AD14" s="26">
        <f t="shared" si="3"/>
        <v>-0.45709999999999995</v>
      </c>
    </row>
    <row r="15" spans="1:30" x14ac:dyDescent="0.3">
      <c r="A15" s="12" t="s">
        <v>17</v>
      </c>
      <c r="B15" s="22">
        <v>0.58750000000000002</v>
      </c>
      <c r="C15" s="12">
        <v>1</v>
      </c>
      <c r="D15" s="12">
        <v>2</v>
      </c>
      <c r="E15" s="12">
        <v>3</v>
      </c>
      <c r="F15" s="12">
        <v>2</v>
      </c>
      <c r="G15" s="12">
        <v>3</v>
      </c>
      <c r="H15" s="12">
        <v>4</v>
      </c>
      <c r="I15" s="12">
        <v>3</v>
      </c>
      <c r="J15" s="12">
        <v>4</v>
      </c>
      <c r="K15" s="12">
        <v>4.5</v>
      </c>
      <c r="L15" s="12">
        <v>5</v>
      </c>
      <c r="M15" s="12">
        <v>3</v>
      </c>
      <c r="N15" s="12">
        <v>8</v>
      </c>
      <c r="O15" s="12">
        <v>6</v>
      </c>
      <c r="P15" s="12">
        <v>5</v>
      </c>
      <c r="Q15" s="12">
        <v>5</v>
      </c>
      <c r="R15" s="12">
        <v>6</v>
      </c>
      <c r="S15" s="12">
        <v>3</v>
      </c>
      <c r="T15" s="12" t="s">
        <v>72</v>
      </c>
      <c r="U15" s="12" t="s">
        <v>72</v>
      </c>
      <c r="V15" s="13">
        <f t="shared" si="0"/>
        <v>67.5</v>
      </c>
      <c r="W15" s="21">
        <f t="shared" si="1"/>
        <v>0.67500000000000004</v>
      </c>
      <c r="X15" s="12" t="s">
        <v>77</v>
      </c>
      <c r="Y15" s="24">
        <v>0.25</v>
      </c>
      <c r="Z15" s="24">
        <v>0.5</v>
      </c>
      <c r="AA15" s="24">
        <v>0.75</v>
      </c>
      <c r="AB15" s="21">
        <v>1</v>
      </c>
      <c r="AC15" s="27">
        <f t="shared" si="2"/>
        <v>-0.16249999999999998</v>
      </c>
      <c r="AD15" s="26">
        <f t="shared" si="3"/>
        <v>-0.41249999999999998</v>
      </c>
    </row>
    <row r="16" spans="1:30" x14ac:dyDescent="0.3">
      <c r="A16" s="12" t="s">
        <v>3</v>
      </c>
      <c r="B16" s="23">
        <v>0.6</v>
      </c>
      <c r="C16" s="12">
        <v>1</v>
      </c>
      <c r="D16" s="12">
        <v>4</v>
      </c>
      <c r="E16" s="12">
        <v>3</v>
      </c>
      <c r="F16" s="12">
        <v>2</v>
      </c>
      <c r="G16" s="12">
        <v>4</v>
      </c>
      <c r="H16" s="12">
        <v>4</v>
      </c>
      <c r="I16" s="12">
        <v>3</v>
      </c>
      <c r="J16" s="12">
        <v>4</v>
      </c>
      <c r="K16" s="12">
        <v>4</v>
      </c>
      <c r="L16" s="12">
        <v>4</v>
      </c>
      <c r="M16" s="12">
        <v>3</v>
      </c>
      <c r="N16" s="12">
        <v>8</v>
      </c>
      <c r="O16" s="12">
        <v>6</v>
      </c>
      <c r="P16" s="12">
        <v>5</v>
      </c>
      <c r="Q16" s="12">
        <v>5</v>
      </c>
      <c r="R16" s="12">
        <v>6</v>
      </c>
      <c r="S16" s="12">
        <v>3</v>
      </c>
      <c r="T16" s="12" t="s">
        <v>72</v>
      </c>
      <c r="U16" s="12" t="s">
        <v>72</v>
      </c>
      <c r="V16" s="13">
        <f t="shared" si="0"/>
        <v>69</v>
      </c>
      <c r="W16" s="21">
        <f t="shared" si="1"/>
        <v>0.69</v>
      </c>
      <c r="X16" s="12" t="s">
        <v>78</v>
      </c>
      <c r="Y16" s="24">
        <v>0.25</v>
      </c>
      <c r="Z16" s="24">
        <v>0.5</v>
      </c>
      <c r="AA16" s="24">
        <v>0.75</v>
      </c>
      <c r="AB16" s="21">
        <v>1</v>
      </c>
      <c r="AC16" s="27">
        <f t="shared" si="2"/>
        <v>-0.15000000000000002</v>
      </c>
      <c r="AD16" s="26">
        <f t="shared" si="3"/>
        <v>-0.4</v>
      </c>
    </row>
    <row r="17" spans="1:30" x14ac:dyDescent="0.3">
      <c r="A17" s="12" t="s">
        <v>10</v>
      </c>
      <c r="B17" s="23">
        <v>0.63290000000000002</v>
      </c>
      <c r="C17" s="12">
        <v>1</v>
      </c>
      <c r="D17" s="12">
        <v>3</v>
      </c>
      <c r="E17" s="12">
        <v>3</v>
      </c>
      <c r="F17" s="12">
        <v>2</v>
      </c>
      <c r="G17" s="12">
        <v>4</v>
      </c>
      <c r="H17" s="12">
        <v>4</v>
      </c>
      <c r="I17" s="12">
        <v>3</v>
      </c>
      <c r="J17" s="12">
        <v>4</v>
      </c>
      <c r="K17" s="12">
        <v>3.5</v>
      </c>
      <c r="L17" s="12">
        <v>6</v>
      </c>
      <c r="M17" s="12">
        <v>4</v>
      </c>
      <c r="N17" s="12">
        <v>8</v>
      </c>
      <c r="O17" s="12">
        <v>6</v>
      </c>
      <c r="P17" s="12">
        <v>7</v>
      </c>
      <c r="Q17" s="12">
        <v>5</v>
      </c>
      <c r="R17" s="12">
        <v>6</v>
      </c>
      <c r="S17" s="12">
        <v>4</v>
      </c>
      <c r="T17" s="12" t="s">
        <v>72</v>
      </c>
      <c r="U17" s="12" t="s">
        <v>72</v>
      </c>
      <c r="V17" s="13">
        <f t="shared" si="0"/>
        <v>73.5</v>
      </c>
      <c r="W17" s="21">
        <f t="shared" si="1"/>
        <v>0.73499999999999999</v>
      </c>
      <c r="X17" s="12" t="s">
        <v>78</v>
      </c>
      <c r="Y17" s="24">
        <v>0.25</v>
      </c>
      <c r="Z17" s="24">
        <v>0.5</v>
      </c>
      <c r="AA17" s="24">
        <v>0.75</v>
      </c>
      <c r="AB17" s="21">
        <v>1</v>
      </c>
      <c r="AC17" s="27">
        <f t="shared" si="2"/>
        <v>-0.11709999999999998</v>
      </c>
      <c r="AD17" s="28">
        <f t="shared" si="3"/>
        <v>-0.36709999999999998</v>
      </c>
    </row>
    <row r="18" spans="1:30" x14ac:dyDescent="0.3">
      <c r="A18" s="12" t="s">
        <v>8</v>
      </c>
      <c r="B18" s="23">
        <v>0.63639999999999997</v>
      </c>
      <c r="C18" s="12">
        <v>1</v>
      </c>
      <c r="D18" s="12">
        <v>4</v>
      </c>
      <c r="E18" s="12">
        <v>3</v>
      </c>
      <c r="F18" s="12">
        <v>2</v>
      </c>
      <c r="G18" s="12">
        <v>3</v>
      </c>
      <c r="H18" s="12">
        <v>4</v>
      </c>
      <c r="I18" s="12">
        <v>3</v>
      </c>
      <c r="J18" s="12">
        <v>4</v>
      </c>
      <c r="K18" s="12">
        <v>4</v>
      </c>
      <c r="L18" s="12">
        <v>6</v>
      </c>
      <c r="M18" s="12">
        <v>4</v>
      </c>
      <c r="N18" s="12">
        <v>8</v>
      </c>
      <c r="O18" s="12">
        <v>6</v>
      </c>
      <c r="P18" s="12">
        <v>6</v>
      </c>
      <c r="Q18" s="12">
        <v>5</v>
      </c>
      <c r="R18" s="12">
        <v>6</v>
      </c>
      <c r="S18" s="12">
        <v>4</v>
      </c>
      <c r="T18" s="12" t="s">
        <v>72</v>
      </c>
      <c r="U18" s="12" t="s">
        <v>72</v>
      </c>
      <c r="V18" s="13">
        <f t="shared" si="0"/>
        <v>73</v>
      </c>
      <c r="W18" s="21">
        <f t="shared" si="1"/>
        <v>0.73</v>
      </c>
      <c r="X18" s="12" t="s">
        <v>78</v>
      </c>
      <c r="Y18" s="24">
        <v>0.25</v>
      </c>
      <c r="Z18" s="24">
        <v>0.5</v>
      </c>
      <c r="AA18" s="24">
        <v>0.75</v>
      </c>
      <c r="AB18" s="21">
        <v>1</v>
      </c>
      <c r="AC18" s="27">
        <f t="shared" si="2"/>
        <v>-0.11360000000000003</v>
      </c>
      <c r="AD18" s="28">
        <f t="shared" si="3"/>
        <v>-0.36360000000000003</v>
      </c>
    </row>
    <row r="19" spans="1:30" x14ac:dyDescent="0.3">
      <c r="A19" s="12" t="s">
        <v>1</v>
      </c>
      <c r="B19" s="23">
        <v>0.80769999999999997</v>
      </c>
      <c r="C19" s="12">
        <v>1</v>
      </c>
      <c r="D19" s="12">
        <v>3</v>
      </c>
      <c r="E19" s="12">
        <v>3</v>
      </c>
      <c r="F19" s="12">
        <v>2</v>
      </c>
      <c r="G19" s="12">
        <v>3</v>
      </c>
      <c r="H19" s="12">
        <v>4</v>
      </c>
      <c r="I19" s="12">
        <v>3</v>
      </c>
      <c r="J19" s="12">
        <v>4</v>
      </c>
      <c r="K19" s="12">
        <v>3.5</v>
      </c>
      <c r="L19" s="12">
        <v>6</v>
      </c>
      <c r="M19" s="12">
        <v>4</v>
      </c>
      <c r="N19" s="12">
        <v>8</v>
      </c>
      <c r="O19" s="12">
        <v>6.5</v>
      </c>
      <c r="P19" s="12">
        <v>6</v>
      </c>
      <c r="Q19" s="12">
        <v>5</v>
      </c>
      <c r="R19" s="12">
        <v>6</v>
      </c>
      <c r="S19" s="12">
        <v>4</v>
      </c>
      <c r="T19" s="12" t="s">
        <v>72</v>
      </c>
      <c r="U19" s="12" t="s">
        <v>72</v>
      </c>
      <c r="V19" s="13">
        <f t="shared" si="0"/>
        <v>72</v>
      </c>
      <c r="W19" s="21">
        <f t="shared" si="1"/>
        <v>0.72</v>
      </c>
      <c r="X19" s="12" t="s">
        <v>78</v>
      </c>
      <c r="Y19" s="24">
        <v>0.25</v>
      </c>
      <c r="Z19" s="24">
        <v>0.5</v>
      </c>
      <c r="AA19" s="24">
        <v>0.75</v>
      </c>
      <c r="AB19" s="21">
        <v>1</v>
      </c>
      <c r="AC19" s="29">
        <f t="shared" si="2"/>
        <v>5.7699999999999974E-2</v>
      </c>
      <c r="AD19" s="28">
        <f t="shared" si="3"/>
        <v>-0.19230000000000003</v>
      </c>
    </row>
    <row r="20" spans="1:30" x14ac:dyDescent="0.3">
      <c r="A20" s="12" t="s">
        <v>7</v>
      </c>
      <c r="B20" s="23">
        <v>1.1364000000000001</v>
      </c>
      <c r="C20" s="12">
        <v>1</v>
      </c>
      <c r="D20" s="12">
        <v>4</v>
      </c>
      <c r="E20" s="12">
        <v>3</v>
      </c>
      <c r="F20" s="12">
        <v>2</v>
      </c>
      <c r="G20" s="12">
        <v>4</v>
      </c>
      <c r="H20" s="12">
        <v>4</v>
      </c>
      <c r="I20" s="12">
        <v>3</v>
      </c>
      <c r="J20" s="12">
        <v>4</v>
      </c>
      <c r="K20" s="12">
        <v>4</v>
      </c>
      <c r="L20" s="12">
        <v>7</v>
      </c>
      <c r="M20" s="12">
        <v>4</v>
      </c>
      <c r="N20" s="12">
        <v>8</v>
      </c>
      <c r="O20" s="12">
        <v>6</v>
      </c>
      <c r="P20" s="12">
        <v>6</v>
      </c>
      <c r="Q20" s="12">
        <v>5</v>
      </c>
      <c r="R20" s="12">
        <v>6</v>
      </c>
      <c r="S20" s="12">
        <v>4</v>
      </c>
      <c r="T20" s="12" t="s">
        <v>72</v>
      </c>
      <c r="U20" s="12" t="s">
        <v>72</v>
      </c>
      <c r="V20" s="13">
        <f t="shared" si="0"/>
        <v>75</v>
      </c>
      <c r="W20" s="21">
        <f t="shared" si="1"/>
        <v>0.75</v>
      </c>
      <c r="X20" s="12" t="s">
        <v>78</v>
      </c>
      <c r="Y20" s="24">
        <v>0.25</v>
      </c>
      <c r="Z20" s="24">
        <v>0.5</v>
      </c>
      <c r="AA20" s="24">
        <v>0.75</v>
      </c>
      <c r="AB20" s="21">
        <v>1</v>
      </c>
      <c r="AC20" s="29">
        <f t="shared" si="2"/>
        <v>0.38640000000000008</v>
      </c>
      <c r="AD20" s="28">
        <f t="shared" si="3"/>
        <v>0.13640000000000008</v>
      </c>
    </row>
    <row r="33" spans="1:2" x14ac:dyDescent="0.3">
      <c r="A33" t="s">
        <v>20</v>
      </c>
      <c r="B33" s="1">
        <v>0.55000000000000004</v>
      </c>
    </row>
    <row r="34" spans="1:2" x14ac:dyDescent="0.3">
      <c r="A34" t="s">
        <v>21</v>
      </c>
    </row>
  </sheetData>
  <autoFilter ref="A1:AM1" xr:uid="{B734B46E-DD75-4FC6-80AE-03358C0EDCBE}">
    <sortState xmlns:xlrd2="http://schemas.microsoft.com/office/spreadsheetml/2017/richdata2" ref="A2:AM24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994B-31A6-465D-9597-599868998C7B}">
  <dimension ref="A1:AF34"/>
  <sheetViews>
    <sheetView showGridLines="0" zoomScaleNormal="100" workbookViewId="0">
      <selection activeCell="AI22" sqref="AI22"/>
    </sheetView>
  </sheetViews>
  <sheetFormatPr baseColWidth="10" defaultRowHeight="14.4" x14ac:dyDescent="0.3"/>
  <cols>
    <col min="1" max="1" width="23.33203125" bestFit="1" customWidth="1"/>
    <col min="2" max="2" width="13.44140625" bestFit="1" customWidth="1"/>
    <col min="3" max="3" width="15.88671875" hidden="1" customWidth="1"/>
    <col min="4" max="4" width="27.109375" hidden="1" customWidth="1"/>
    <col min="5" max="5" width="24.6640625" hidden="1" customWidth="1"/>
    <col min="6" max="6" width="38.88671875" hidden="1" customWidth="1"/>
    <col min="7" max="8" width="24.6640625" hidden="1" customWidth="1"/>
    <col min="9" max="9" width="46.44140625" hidden="1" customWidth="1"/>
    <col min="10" max="10" width="33.6640625" hidden="1" customWidth="1"/>
    <col min="11" max="16" width="24.6640625" hidden="1" customWidth="1"/>
    <col min="17" max="17" width="35.109375" hidden="1" customWidth="1"/>
    <col min="18" max="18" width="33.77734375" bestFit="1" customWidth="1"/>
    <col min="19" max="19" width="19.6640625" bestFit="1" customWidth="1"/>
    <col min="20" max="20" width="24.6640625" hidden="1" customWidth="1"/>
    <col min="21" max="21" width="32.44140625" hidden="1" customWidth="1"/>
    <col min="22" max="22" width="10" hidden="1" customWidth="1"/>
    <col min="23" max="23" width="12" hidden="1" customWidth="1"/>
    <col min="24" max="24" width="12.88671875" hidden="1" customWidth="1"/>
    <col min="25" max="28" width="11" hidden="1" customWidth="1"/>
    <col min="29" max="29" width="31.44140625" hidden="1" customWidth="1"/>
    <col min="30" max="30" width="30.109375" hidden="1" customWidth="1"/>
    <col min="31" max="31" width="17.33203125" bestFit="1" customWidth="1"/>
    <col min="32" max="32" width="52.5546875" bestFit="1" customWidth="1"/>
  </cols>
  <sheetData>
    <row r="1" spans="1:32" s="14" customFormat="1" ht="22.5" customHeight="1" x14ac:dyDescent="0.3">
      <c r="A1" s="15" t="s">
        <v>22</v>
      </c>
      <c r="B1" s="15" t="s">
        <v>0</v>
      </c>
      <c r="C1" s="15" t="s">
        <v>29</v>
      </c>
      <c r="D1" s="15" t="s">
        <v>31</v>
      </c>
      <c r="E1" s="15" t="s">
        <v>32</v>
      </c>
      <c r="F1" s="15" t="s">
        <v>49</v>
      </c>
      <c r="G1" s="15" t="s">
        <v>34</v>
      </c>
      <c r="H1" s="15" t="s">
        <v>52</v>
      </c>
      <c r="I1" s="15" t="s">
        <v>53</v>
      </c>
      <c r="J1" s="15" t="s">
        <v>54</v>
      </c>
      <c r="K1" s="15" t="s">
        <v>36</v>
      </c>
      <c r="L1" s="15" t="s">
        <v>38</v>
      </c>
      <c r="M1" s="15" t="s">
        <v>39</v>
      </c>
      <c r="N1" s="15" t="s">
        <v>41</v>
      </c>
      <c r="O1" s="15" t="s">
        <v>46</v>
      </c>
      <c r="P1" s="15" t="s">
        <v>55</v>
      </c>
      <c r="Q1" s="15" t="s">
        <v>56</v>
      </c>
      <c r="R1" s="15" t="s">
        <v>57</v>
      </c>
      <c r="S1" s="15" t="s">
        <v>59</v>
      </c>
      <c r="T1" s="15" t="s">
        <v>60</v>
      </c>
      <c r="U1" s="15" t="s">
        <v>62</v>
      </c>
      <c r="V1" s="15" t="s">
        <v>20</v>
      </c>
      <c r="W1" s="15" t="s">
        <v>73</v>
      </c>
      <c r="X1" s="15" t="s">
        <v>75</v>
      </c>
      <c r="Y1" s="17" t="s">
        <v>82</v>
      </c>
      <c r="Z1" s="17" t="s">
        <v>83</v>
      </c>
      <c r="AA1" s="17" t="s">
        <v>80</v>
      </c>
      <c r="AB1" s="17" t="s">
        <v>81</v>
      </c>
      <c r="AC1" s="18" t="s">
        <v>79</v>
      </c>
      <c r="AD1" s="18" t="s">
        <v>84</v>
      </c>
      <c r="AE1" s="18" t="s">
        <v>96</v>
      </c>
      <c r="AF1" s="18" t="s">
        <v>97</v>
      </c>
    </row>
    <row r="2" spans="1:32" ht="12" customHeight="1" x14ac:dyDescent="0.3">
      <c r="A2" s="38" t="s">
        <v>19</v>
      </c>
      <c r="B2" s="39">
        <v>0.16669999999999999</v>
      </c>
      <c r="C2" s="38">
        <v>1</v>
      </c>
      <c r="D2" s="38">
        <v>2</v>
      </c>
      <c r="E2" s="38">
        <v>2</v>
      </c>
      <c r="F2" s="38">
        <v>2</v>
      </c>
      <c r="G2" s="38">
        <v>2</v>
      </c>
      <c r="H2" s="38">
        <v>2</v>
      </c>
      <c r="I2" s="38">
        <v>2.5</v>
      </c>
      <c r="J2" s="38">
        <v>4</v>
      </c>
      <c r="K2" s="38">
        <v>2.5</v>
      </c>
      <c r="L2" s="38">
        <v>4</v>
      </c>
      <c r="M2" s="38">
        <v>2.5</v>
      </c>
      <c r="N2" s="38">
        <v>8</v>
      </c>
      <c r="O2" s="38">
        <v>4</v>
      </c>
      <c r="P2" s="38">
        <v>3</v>
      </c>
      <c r="Q2" s="38">
        <v>3</v>
      </c>
      <c r="R2" s="38">
        <v>4</v>
      </c>
      <c r="S2" s="38">
        <v>2.5</v>
      </c>
      <c r="T2" s="38" t="s">
        <v>72</v>
      </c>
      <c r="U2" s="38" t="s">
        <v>72</v>
      </c>
      <c r="V2" s="40">
        <f t="shared" ref="V2:V20" si="0">+SUM(C2:U2)</f>
        <v>51</v>
      </c>
      <c r="W2" s="41">
        <f>+V2/100</f>
        <v>0.51</v>
      </c>
      <c r="X2" s="38" t="s">
        <v>76</v>
      </c>
      <c r="Y2" s="42">
        <v>0.25</v>
      </c>
      <c r="Z2" s="42">
        <v>0.5</v>
      </c>
      <c r="AA2" s="42">
        <v>0.75</v>
      </c>
      <c r="AB2" s="43">
        <v>1</v>
      </c>
      <c r="AC2" s="44">
        <f>+B2-AA2</f>
        <v>-0.58330000000000004</v>
      </c>
      <c r="AD2" s="45">
        <f>+B2-AB2</f>
        <v>-0.83330000000000004</v>
      </c>
      <c r="AE2" s="38" t="s">
        <v>98</v>
      </c>
      <c r="AF2" s="38" t="s">
        <v>99</v>
      </c>
    </row>
    <row r="3" spans="1:32" ht="12" customHeight="1" x14ac:dyDescent="0.3">
      <c r="A3" s="38" t="s">
        <v>18</v>
      </c>
      <c r="B3" s="39">
        <v>0.25</v>
      </c>
      <c r="C3" s="38">
        <v>1</v>
      </c>
      <c r="D3" s="38">
        <v>2</v>
      </c>
      <c r="E3" s="38">
        <v>3</v>
      </c>
      <c r="F3" s="38">
        <v>2</v>
      </c>
      <c r="G3" s="38">
        <v>2</v>
      </c>
      <c r="H3" s="38">
        <v>3</v>
      </c>
      <c r="I3" s="38">
        <v>2</v>
      </c>
      <c r="J3" s="38">
        <v>4</v>
      </c>
      <c r="K3" s="38">
        <v>3</v>
      </c>
      <c r="L3" s="38">
        <v>4</v>
      </c>
      <c r="M3" s="38">
        <v>3</v>
      </c>
      <c r="N3" s="38">
        <v>8</v>
      </c>
      <c r="O3" s="38">
        <v>5</v>
      </c>
      <c r="P3" s="38">
        <v>5</v>
      </c>
      <c r="Q3" s="38">
        <v>4</v>
      </c>
      <c r="R3" s="38">
        <v>4</v>
      </c>
      <c r="S3" s="38">
        <v>3</v>
      </c>
      <c r="T3" s="38" t="s">
        <v>72</v>
      </c>
      <c r="U3" s="38" t="s">
        <v>72</v>
      </c>
      <c r="V3" s="40">
        <f t="shared" si="0"/>
        <v>58</v>
      </c>
      <c r="W3" s="41">
        <f t="shared" ref="W3:W20" si="1">+V3/100</f>
        <v>0.57999999999999996</v>
      </c>
      <c r="X3" s="38" t="s">
        <v>76</v>
      </c>
      <c r="Y3" s="42">
        <v>0.25</v>
      </c>
      <c r="Z3" s="42">
        <v>0.5</v>
      </c>
      <c r="AA3" s="42">
        <v>0.75</v>
      </c>
      <c r="AB3" s="43">
        <v>1</v>
      </c>
      <c r="AC3" s="44">
        <f t="shared" ref="AC3:AC20" si="2">+B3-AA3</f>
        <v>-0.5</v>
      </c>
      <c r="AD3" s="45">
        <f t="shared" ref="AD3:AD20" si="3">+B3-AB3</f>
        <v>-0.75</v>
      </c>
      <c r="AE3" s="38" t="s">
        <v>100</v>
      </c>
      <c r="AF3" s="38" t="s">
        <v>101</v>
      </c>
    </row>
    <row r="4" spans="1:32" ht="12" customHeight="1" x14ac:dyDescent="0.3">
      <c r="A4" s="38" t="s">
        <v>11</v>
      </c>
      <c r="B4" s="39">
        <v>0.29289999999999999</v>
      </c>
      <c r="C4" s="38">
        <v>1</v>
      </c>
      <c r="D4" s="38">
        <v>3</v>
      </c>
      <c r="E4" s="38">
        <v>3</v>
      </c>
      <c r="F4" s="38">
        <v>2</v>
      </c>
      <c r="G4" s="38">
        <v>2</v>
      </c>
      <c r="H4" s="38">
        <v>3</v>
      </c>
      <c r="I4" s="38">
        <v>2</v>
      </c>
      <c r="J4" s="38">
        <v>4</v>
      </c>
      <c r="K4" s="38">
        <v>4</v>
      </c>
      <c r="L4" s="38">
        <v>5</v>
      </c>
      <c r="M4" s="38">
        <v>3</v>
      </c>
      <c r="N4" s="38">
        <v>8</v>
      </c>
      <c r="O4" s="38">
        <v>4</v>
      </c>
      <c r="P4" s="38">
        <v>4</v>
      </c>
      <c r="Q4" s="38">
        <v>3</v>
      </c>
      <c r="R4" s="38">
        <v>4</v>
      </c>
      <c r="S4" s="38">
        <v>3</v>
      </c>
      <c r="T4" s="38" t="s">
        <v>72</v>
      </c>
      <c r="U4" s="38" t="s">
        <v>72</v>
      </c>
      <c r="V4" s="40">
        <f t="shared" si="0"/>
        <v>58</v>
      </c>
      <c r="W4" s="41">
        <f t="shared" si="1"/>
        <v>0.57999999999999996</v>
      </c>
      <c r="X4" s="38" t="s">
        <v>76</v>
      </c>
      <c r="Y4" s="42">
        <v>0.25</v>
      </c>
      <c r="Z4" s="42">
        <v>0.5</v>
      </c>
      <c r="AA4" s="42">
        <v>0.75</v>
      </c>
      <c r="AB4" s="43">
        <v>1</v>
      </c>
      <c r="AC4" s="44">
        <f t="shared" si="2"/>
        <v>-0.45710000000000001</v>
      </c>
      <c r="AD4" s="45">
        <f t="shared" si="3"/>
        <v>-0.70710000000000006</v>
      </c>
      <c r="AE4" s="38" t="s">
        <v>102</v>
      </c>
      <c r="AF4" s="38" t="s">
        <v>103</v>
      </c>
    </row>
    <row r="5" spans="1:32" ht="12" customHeight="1" x14ac:dyDescent="0.3">
      <c r="A5" s="38" t="s">
        <v>16</v>
      </c>
      <c r="B5" s="39">
        <v>0.34449999999999997</v>
      </c>
      <c r="C5" s="38">
        <v>1</v>
      </c>
      <c r="D5" s="38">
        <v>2</v>
      </c>
      <c r="E5" s="38">
        <v>3</v>
      </c>
      <c r="F5" s="38">
        <v>2</v>
      </c>
      <c r="G5" s="38">
        <v>2</v>
      </c>
      <c r="H5" s="38">
        <v>2</v>
      </c>
      <c r="I5" s="38">
        <v>3</v>
      </c>
      <c r="J5" s="38">
        <v>4</v>
      </c>
      <c r="K5" s="38">
        <v>3</v>
      </c>
      <c r="L5" s="38">
        <v>4</v>
      </c>
      <c r="M5" s="38">
        <v>3.5</v>
      </c>
      <c r="N5" s="38">
        <v>8</v>
      </c>
      <c r="O5" s="38">
        <v>5</v>
      </c>
      <c r="P5" s="38">
        <v>5</v>
      </c>
      <c r="Q5" s="38">
        <v>4</v>
      </c>
      <c r="R5" s="38">
        <v>3.5</v>
      </c>
      <c r="S5" s="38">
        <v>2.5</v>
      </c>
      <c r="T5" s="38" t="s">
        <v>72</v>
      </c>
      <c r="U5" s="38" t="s">
        <v>72</v>
      </c>
      <c r="V5" s="40">
        <f t="shared" si="0"/>
        <v>57.5</v>
      </c>
      <c r="W5" s="41">
        <f t="shared" si="1"/>
        <v>0.57499999999999996</v>
      </c>
      <c r="X5" s="38" t="s">
        <v>76</v>
      </c>
      <c r="Y5" s="42">
        <v>0.25</v>
      </c>
      <c r="Z5" s="42">
        <v>0.5</v>
      </c>
      <c r="AA5" s="42">
        <v>0.75</v>
      </c>
      <c r="AB5" s="43">
        <v>1</v>
      </c>
      <c r="AC5" s="44">
        <f t="shared" si="2"/>
        <v>-0.40550000000000003</v>
      </c>
      <c r="AD5" s="45">
        <f t="shared" si="3"/>
        <v>-0.65549999999999997</v>
      </c>
      <c r="AE5" s="38" t="s">
        <v>104</v>
      </c>
      <c r="AF5" s="38" t="s">
        <v>105</v>
      </c>
    </row>
    <row r="6" spans="1:32" ht="12" customHeight="1" x14ac:dyDescent="0.3">
      <c r="A6" s="38" t="s">
        <v>2</v>
      </c>
      <c r="B6" s="39">
        <v>0.38159999999999999</v>
      </c>
      <c r="C6" s="38">
        <v>1</v>
      </c>
      <c r="D6" s="38">
        <v>2</v>
      </c>
      <c r="E6" s="38">
        <v>3</v>
      </c>
      <c r="F6" s="38">
        <v>2</v>
      </c>
      <c r="G6" s="38">
        <v>2</v>
      </c>
      <c r="H6" s="38">
        <v>3</v>
      </c>
      <c r="I6" s="38">
        <v>2</v>
      </c>
      <c r="J6" s="38">
        <v>4</v>
      </c>
      <c r="K6" s="38">
        <v>3</v>
      </c>
      <c r="L6" s="38">
        <v>3</v>
      </c>
      <c r="M6" s="38">
        <v>3</v>
      </c>
      <c r="N6" s="38">
        <v>8</v>
      </c>
      <c r="O6" s="38">
        <v>5</v>
      </c>
      <c r="P6" s="38">
        <v>5</v>
      </c>
      <c r="Q6" s="38">
        <v>4</v>
      </c>
      <c r="R6" s="38">
        <v>4</v>
      </c>
      <c r="S6" s="38">
        <v>3</v>
      </c>
      <c r="T6" s="38" t="s">
        <v>72</v>
      </c>
      <c r="U6" s="38" t="s">
        <v>72</v>
      </c>
      <c r="V6" s="40">
        <f t="shared" si="0"/>
        <v>57</v>
      </c>
      <c r="W6" s="41">
        <f t="shared" si="1"/>
        <v>0.56999999999999995</v>
      </c>
      <c r="X6" s="38" t="s">
        <v>76</v>
      </c>
      <c r="Y6" s="42">
        <v>0.25</v>
      </c>
      <c r="Z6" s="42">
        <v>0.5</v>
      </c>
      <c r="AA6" s="42">
        <v>0.75</v>
      </c>
      <c r="AB6" s="43">
        <v>1</v>
      </c>
      <c r="AC6" s="44">
        <f t="shared" si="2"/>
        <v>-0.36840000000000001</v>
      </c>
      <c r="AD6" s="45">
        <f t="shared" si="3"/>
        <v>-0.61840000000000006</v>
      </c>
      <c r="AE6" s="38" t="s">
        <v>106</v>
      </c>
      <c r="AF6" s="38" t="s">
        <v>107</v>
      </c>
    </row>
    <row r="7" spans="1:32" ht="12" customHeight="1" x14ac:dyDescent="0.3">
      <c r="A7" s="38" t="s">
        <v>15</v>
      </c>
      <c r="B7" s="39">
        <v>0.39290000000000003</v>
      </c>
      <c r="C7" s="38">
        <v>1</v>
      </c>
      <c r="D7" s="38">
        <v>2</v>
      </c>
      <c r="E7" s="38">
        <v>3</v>
      </c>
      <c r="F7" s="38">
        <v>2</v>
      </c>
      <c r="G7" s="38">
        <v>3</v>
      </c>
      <c r="H7" s="38">
        <v>3</v>
      </c>
      <c r="I7" s="38">
        <v>2</v>
      </c>
      <c r="J7" s="38">
        <v>4</v>
      </c>
      <c r="K7" s="38">
        <v>4</v>
      </c>
      <c r="L7" s="38">
        <v>4</v>
      </c>
      <c r="M7" s="38">
        <v>3</v>
      </c>
      <c r="N7" s="38">
        <v>8</v>
      </c>
      <c r="O7" s="38">
        <v>4.5</v>
      </c>
      <c r="P7" s="38">
        <v>5</v>
      </c>
      <c r="Q7" s="38">
        <v>3.5</v>
      </c>
      <c r="R7" s="38">
        <v>4.5</v>
      </c>
      <c r="S7" s="38">
        <v>3</v>
      </c>
      <c r="T7" s="38" t="s">
        <v>72</v>
      </c>
      <c r="U7" s="38" t="s">
        <v>72</v>
      </c>
      <c r="V7" s="40">
        <f t="shared" si="0"/>
        <v>59.5</v>
      </c>
      <c r="W7" s="41">
        <f t="shared" si="1"/>
        <v>0.59499999999999997</v>
      </c>
      <c r="X7" s="38" t="s">
        <v>76</v>
      </c>
      <c r="Y7" s="42">
        <v>0.25</v>
      </c>
      <c r="Z7" s="42">
        <v>0.5</v>
      </c>
      <c r="AA7" s="42">
        <v>0.75</v>
      </c>
      <c r="AB7" s="43">
        <v>1</v>
      </c>
      <c r="AC7" s="44">
        <f t="shared" si="2"/>
        <v>-0.35709999999999997</v>
      </c>
      <c r="AD7" s="45">
        <f t="shared" si="3"/>
        <v>-0.60709999999999997</v>
      </c>
      <c r="AE7" s="38" t="s">
        <v>108</v>
      </c>
      <c r="AF7" s="38" t="s">
        <v>109</v>
      </c>
    </row>
    <row r="8" spans="1:32" ht="12" customHeight="1" x14ac:dyDescent="0.3">
      <c r="A8" s="38" t="s">
        <v>12</v>
      </c>
      <c r="B8" s="39">
        <v>0.41670000000000001</v>
      </c>
      <c r="C8" s="38">
        <v>1</v>
      </c>
      <c r="D8" s="38">
        <v>2</v>
      </c>
      <c r="E8" s="38">
        <v>3</v>
      </c>
      <c r="F8" s="38">
        <v>2</v>
      </c>
      <c r="G8" s="38">
        <v>2</v>
      </c>
      <c r="H8" s="38">
        <v>3</v>
      </c>
      <c r="I8" s="38">
        <v>2.5</v>
      </c>
      <c r="J8" s="38">
        <v>4</v>
      </c>
      <c r="K8" s="38">
        <v>2.5</v>
      </c>
      <c r="L8" s="38">
        <v>3</v>
      </c>
      <c r="M8" s="38">
        <v>3</v>
      </c>
      <c r="N8" s="38">
        <v>8</v>
      </c>
      <c r="O8" s="38">
        <v>4.5</v>
      </c>
      <c r="P8" s="38">
        <v>5</v>
      </c>
      <c r="Q8" s="38">
        <v>3.5</v>
      </c>
      <c r="R8" s="38">
        <v>4</v>
      </c>
      <c r="S8" s="38">
        <v>3.5</v>
      </c>
      <c r="T8" s="38" t="s">
        <v>72</v>
      </c>
      <c r="U8" s="38" t="s">
        <v>72</v>
      </c>
      <c r="V8" s="40">
        <f t="shared" si="0"/>
        <v>56.5</v>
      </c>
      <c r="W8" s="41">
        <f t="shared" si="1"/>
        <v>0.56499999999999995</v>
      </c>
      <c r="X8" s="38" t="s">
        <v>76</v>
      </c>
      <c r="Y8" s="42">
        <v>0.25</v>
      </c>
      <c r="Z8" s="42">
        <v>0.5</v>
      </c>
      <c r="AA8" s="42">
        <v>0.75</v>
      </c>
      <c r="AB8" s="43">
        <v>1</v>
      </c>
      <c r="AC8" s="44">
        <f t="shared" si="2"/>
        <v>-0.33329999999999999</v>
      </c>
      <c r="AD8" s="45">
        <f t="shared" si="3"/>
        <v>-0.58329999999999993</v>
      </c>
      <c r="AE8" s="38" t="s">
        <v>110</v>
      </c>
      <c r="AF8" s="38" t="s">
        <v>111</v>
      </c>
    </row>
    <row r="9" spans="1:32" ht="12" customHeight="1" x14ac:dyDescent="0.3">
      <c r="A9" s="38" t="s">
        <v>6</v>
      </c>
      <c r="B9" s="39">
        <v>0.44869999999999999</v>
      </c>
      <c r="C9" s="38">
        <v>1</v>
      </c>
      <c r="D9" s="38">
        <v>3</v>
      </c>
      <c r="E9" s="38">
        <v>3</v>
      </c>
      <c r="F9" s="38">
        <v>2</v>
      </c>
      <c r="G9" s="38">
        <v>3</v>
      </c>
      <c r="H9" s="38">
        <v>3</v>
      </c>
      <c r="I9" s="38">
        <v>2.5</v>
      </c>
      <c r="J9" s="38">
        <v>4</v>
      </c>
      <c r="K9" s="38">
        <v>3</v>
      </c>
      <c r="L9" s="38">
        <v>4</v>
      </c>
      <c r="M9" s="38">
        <v>3</v>
      </c>
      <c r="N9" s="38">
        <v>8</v>
      </c>
      <c r="O9" s="38">
        <v>4.5</v>
      </c>
      <c r="P9" s="38">
        <v>5</v>
      </c>
      <c r="Q9" s="38">
        <v>3.5</v>
      </c>
      <c r="R9" s="38">
        <v>3.5</v>
      </c>
      <c r="S9" s="38">
        <v>3.5</v>
      </c>
      <c r="T9" s="38" t="s">
        <v>72</v>
      </c>
      <c r="U9" s="38" t="s">
        <v>72</v>
      </c>
      <c r="V9" s="40">
        <f t="shared" si="0"/>
        <v>59.5</v>
      </c>
      <c r="W9" s="41">
        <f t="shared" si="1"/>
        <v>0.59499999999999997</v>
      </c>
      <c r="X9" s="38" t="s">
        <v>76</v>
      </c>
      <c r="Y9" s="42">
        <v>0.25</v>
      </c>
      <c r="Z9" s="42">
        <v>0.5</v>
      </c>
      <c r="AA9" s="42">
        <v>0.75</v>
      </c>
      <c r="AB9" s="43">
        <v>1</v>
      </c>
      <c r="AC9" s="44">
        <f t="shared" si="2"/>
        <v>-0.30130000000000001</v>
      </c>
      <c r="AD9" s="45">
        <f t="shared" si="3"/>
        <v>-0.55130000000000001</v>
      </c>
      <c r="AE9" s="38" t="s">
        <v>112</v>
      </c>
      <c r="AF9" s="38" t="s">
        <v>113</v>
      </c>
    </row>
    <row r="10" spans="1:32" ht="12" customHeight="1" x14ac:dyDescent="0.3">
      <c r="A10" s="38" t="s">
        <v>14</v>
      </c>
      <c r="B10" s="39">
        <v>0.45879999999999999</v>
      </c>
      <c r="C10" s="38">
        <v>1</v>
      </c>
      <c r="D10" s="38">
        <v>2.5</v>
      </c>
      <c r="E10" s="38">
        <v>2.5</v>
      </c>
      <c r="F10" s="38">
        <v>2</v>
      </c>
      <c r="G10" s="38">
        <v>2.5</v>
      </c>
      <c r="H10" s="38">
        <v>3</v>
      </c>
      <c r="I10" s="38">
        <v>2.5</v>
      </c>
      <c r="J10" s="38">
        <v>4</v>
      </c>
      <c r="K10" s="38">
        <v>2.5</v>
      </c>
      <c r="L10" s="38">
        <v>5</v>
      </c>
      <c r="M10" s="38">
        <v>3</v>
      </c>
      <c r="N10" s="38">
        <v>8</v>
      </c>
      <c r="O10" s="38">
        <v>6</v>
      </c>
      <c r="P10" s="38">
        <v>5</v>
      </c>
      <c r="Q10" s="38">
        <v>3.5</v>
      </c>
      <c r="R10" s="38">
        <v>3</v>
      </c>
      <c r="S10" s="38">
        <v>3</v>
      </c>
      <c r="T10" s="38" t="s">
        <v>72</v>
      </c>
      <c r="U10" s="38" t="s">
        <v>72</v>
      </c>
      <c r="V10" s="40">
        <f t="shared" si="0"/>
        <v>59</v>
      </c>
      <c r="W10" s="43">
        <f t="shared" si="1"/>
        <v>0.59</v>
      </c>
      <c r="X10" s="38" t="s">
        <v>76</v>
      </c>
      <c r="Y10" s="42">
        <v>0.25</v>
      </c>
      <c r="Z10" s="42">
        <v>0.5</v>
      </c>
      <c r="AA10" s="42">
        <v>0.75</v>
      </c>
      <c r="AB10" s="43">
        <v>1</v>
      </c>
      <c r="AC10" s="44">
        <f t="shared" si="2"/>
        <v>-0.29120000000000001</v>
      </c>
      <c r="AD10" s="45">
        <f t="shared" si="3"/>
        <v>-0.54120000000000001</v>
      </c>
      <c r="AE10" s="38" t="s">
        <v>114</v>
      </c>
      <c r="AF10" s="38" t="s">
        <v>115</v>
      </c>
    </row>
    <row r="11" spans="1:32" ht="12" customHeight="1" x14ac:dyDescent="0.3">
      <c r="A11" s="38" t="s">
        <v>4</v>
      </c>
      <c r="B11" s="46">
        <v>0.5161</v>
      </c>
      <c r="C11" s="38">
        <v>1</v>
      </c>
      <c r="D11" s="38">
        <v>3</v>
      </c>
      <c r="E11" s="38">
        <v>3</v>
      </c>
      <c r="F11" s="38">
        <v>2</v>
      </c>
      <c r="G11" s="38">
        <v>3</v>
      </c>
      <c r="H11" s="38">
        <v>5</v>
      </c>
      <c r="I11" s="38">
        <v>3</v>
      </c>
      <c r="J11" s="38">
        <v>4</v>
      </c>
      <c r="K11" s="38">
        <v>4</v>
      </c>
      <c r="L11" s="38">
        <v>4</v>
      </c>
      <c r="M11" s="38">
        <v>4</v>
      </c>
      <c r="N11" s="38">
        <v>8</v>
      </c>
      <c r="O11" s="38">
        <v>6</v>
      </c>
      <c r="P11" s="38">
        <v>5</v>
      </c>
      <c r="Q11" s="38">
        <v>5</v>
      </c>
      <c r="R11" s="38">
        <v>6</v>
      </c>
      <c r="S11" s="38">
        <v>4</v>
      </c>
      <c r="T11" s="38" t="s">
        <v>72</v>
      </c>
      <c r="U11" s="38" t="s">
        <v>72</v>
      </c>
      <c r="V11" s="40">
        <f t="shared" si="0"/>
        <v>70</v>
      </c>
      <c r="W11" s="43">
        <f t="shared" si="1"/>
        <v>0.7</v>
      </c>
      <c r="X11" s="38" t="s">
        <v>77</v>
      </c>
      <c r="Y11" s="42">
        <v>0.25</v>
      </c>
      <c r="Z11" s="42">
        <v>0.5</v>
      </c>
      <c r="AA11" s="42">
        <v>0.75</v>
      </c>
      <c r="AB11" s="43">
        <v>1</v>
      </c>
      <c r="AC11" s="47">
        <f t="shared" si="2"/>
        <v>-0.2339</v>
      </c>
      <c r="AD11" s="45">
        <f t="shared" si="3"/>
        <v>-0.4839</v>
      </c>
      <c r="AE11" s="38" t="s">
        <v>116</v>
      </c>
      <c r="AF11" s="38" t="s">
        <v>117</v>
      </c>
    </row>
    <row r="12" spans="1:32" ht="12" customHeight="1" x14ac:dyDescent="0.3">
      <c r="A12" s="38" t="s">
        <v>13</v>
      </c>
      <c r="B12" s="46">
        <v>0.52170000000000005</v>
      </c>
      <c r="C12" s="38">
        <v>1</v>
      </c>
      <c r="D12" s="38">
        <v>3</v>
      </c>
      <c r="E12" s="38">
        <v>3</v>
      </c>
      <c r="F12" s="38">
        <v>2</v>
      </c>
      <c r="G12" s="38">
        <v>3</v>
      </c>
      <c r="H12" s="38">
        <v>4.5</v>
      </c>
      <c r="I12" s="38">
        <v>3</v>
      </c>
      <c r="J12" s="38">
        <v>4</v>
      </c>
      <c r="K12" s="38">
        <v>4</v>
      </c>
      <c r="L12" s="38">
        <v>5</v>
      </c>
      <c r="M12" s="38">
        <v>4</v>
      </c>
      <c r="N12" s="38">
        <v>8</v>
      </c>
      <c r="O12" s="38">
        <v>6</v>
      </c>
      <c r="P12" s="38">
        <v>5</v>
      </c>
      <c r="Q12" s="38">
        <v>5</v>
      </c>
      <c r="R12" s="38">
        <v>6</v>
      </c>
      <c r="S12" s="38">
        <v>3</v>
      </c>
      <c r="T12" s="38" t="s">
        <v>72</v>
      </c>
      <c r="U12" s="38" t="s">
        <v>72</v>
      </c>
      <c r="V12" s="40">
        <f t="shared" si="0"/>
        <v>69.5</v>
      </c>
      <c r="W12" s="43">
        <f t="shared" si="1"/>
        <v>0.69499999999999995</v>
      </c>
      <c r="X12" s="38" t="s">
        <v>77</v>
      </c>
      <c r="Y12" s="42">
        <v>0.25</v>
      </c>
      <c r="Z12" s="42">
        <v>0.5</v>
      </c>
      <c r="AA12" s="42">
        <v>0.75</v>
      </c>
      <c r="AB12" s="43">
        <v>1</v>
      </c>
      <c r="AC12" s="47">
        <f t="shared" si="2"/>
        <v>-0.22829999999999995</v>
      </c>
      <c r="AD12" s="45">
        <f t="shared" si="3"/>
        <v>-0.47829999999999995</v>
      </c>
      <c r="AE12" s="38" t="s">
        <v>118</v>
      </c>
      <c r="AF12" s="38" t="s">
        <v>119</v>
      </c>
    </row>
    <row r="13" spans="1:32" ht="12" customHeight="1" x14ac:dyDescent="0.3">
      <c r="A13" s="38" t="s">
        <v>9</v>
      </c>
      <c r="B13" s="46">
        <v>0.53210000000000002</v>
      </c>
      <c r="C13" s="38">
        <v>1</v>
      </c>
      <c r="D13" s="38">
        <v>3</v>
      </c>
      <c r="E13" s="38">
        <v>3</v>
      </c>
      <c r="F13" s="38">
        <v>2</v>
      </c>
      <c r="G13" s="38">
        <v>3</v>
      </c>
      <c r="H13" s="38">
        <v>3</v>
      </c>
      <c r="I13" s="38">
        <v>3</v>
      </c>
      <c r="J13" s="38">
        <v>4</v>
      </c>
      <c r="K13" s="38">
        <v>3</v>
      </c>
      <c r="L13" s="38">
        <v>5</v>
      </c>
      <c r="M13" s="38">
        <v>4</v>
      </c>
      <c r="N13" s="38">
        <v>8</v>
      </c>
      <c r="O13" s="38">
        <v>6</v>
      </c>
      <c r="P13" s="38">
        <v>5</v>
      </c>
      <c r="Q13" s="38">
        <v>5</v>
      </c>
      <c r="R13" s="38">
        <v>6</v>
      </c>
      <c r="S13" s="38">
        <v>4</v>
      </c>
      <c r="T13" s="38" t="s">
        <v>72</v>
      </c>
      <c r="U13" s="38" t="s">
        <v>72</v>
      </c>
      <c r="V13" s="40">
        <f t="shared" si="0"/>
        <v>68</v>
      </c>
      <c r="W13" s="43">
        <f t="shared" si="1"/>
        <v>0.68</v>
      </c>
      <c r="X13" s="38" t="s">
        <v>77</v>
      </c>
      <c r="Y13" s="42">
        <v>0.25</v>
      </c>
      <c r="Z13" s="42">
        <v>0.5</v>
      </c>
      <c r="AA13" s="42">
        <v>0.75</v>
      </c>
      <c r="AB13" s="43">
        <v>1</v>
      </c>
      <c r="AC13" s="47">
        <f t="shared" si="2"/>
        <v>-0.21789999999999998</v>
      </c>
      <c r="AD13" s="45">
        <f t="shared" si="3"/>
        <v>-0.46789999999999998</v>
      </c>
      <c r="AE13" s="38" t="s">
        <v>120</v>
      </c>
      <c r="AF13" s="38" t="s">
        <v>121</v>
      </c>
    </row>
    <row r="14" spans="1:32" ht="12" customHeight="1" x14ac:dyDescent="0.3">
      <c r="A14" s="38" t="s">
        <v>5</v>
      </c>
      <c r="B14" s="46">
        <v>0.54290000000000005</v>
      </c>
      <c r="C14" s="38">
        <v>1</v>
      </c>
      <c r="D14" s="38">
        <v>3</v>
      </c>
      <c r="E14" s="38">
        <v>3</v>
      </c>
      <c r="F14" s="38">
        <v>2</v>
      </c>
      <c r="G14" s="38">
        <v>3.5</v>
      </c>
      <c r="H14" s="38">
        <v>4</v>
      </c>
      <c r="I14" s="38">
        <v>3.5</v>
      </c>
      <c r="J14" s="38">
        <v>4</v>
      </c>
      <c r="K14" s="38">
        <v>3.5</v>
      </c>
      <c r="L14" s="38">
        <v>5</v>
      </c>
      <c r="M14" s="38">
        <v>3</v>
      </c>
      <c r="N14" s="38">
        <v>8</v>
      </c>
      <c r="O14" s="38">
        <v>5</v>
      </c>
      <c r="P14" s="38">
        <v>5</v>
      </c>
      <c r="Q14" s="38">
        <v>5</v>
      </c>
      <c r="R14" s="38">
        <v>6</v>
      </c>
      <c r="S14" s="38">
        <v>3</v>
      </c>
      <c r="T14" s="38" t="s">
        <v>72</v>
      </c>
      <c r="U14" s="38" t="s">
        <v>72</v>
      </c>
      <c r="V14" s="40">
        <f t="shared" si="0"/>
        <v>67.5</v>
      </c>
      <c r="W14" s="43">
        <f t="shared" si="1"/>
        <v>0.67500000000000004</v>
      </c>
      <c r="X14" s="38" t="s">
        <v>77</v>
      </c>
      <c r="Y14" s="42">
        <v>0.25</v>
      </c>
      <c r="Z14" s="42">
        <v>0.5</v>
      </c>
      <c r="AA14" s="42">
        <v>0.75</v>
      </c>
      <c r="AB14" s="43">
        <v>1</v>
      </c>
      <c r="AC14" s="47">
        <f t="shared" si="2"/>
        <v>-0.20709999999999995</v>
      </c>
      <c r="AD14" s="45">
        <f t="shared" si="3"/>
        <v>-0.45709999999999995</v>
      </c>
      <c r="AE14" s="38" t="s">
        <v>122</v>
      </c>
      <c r="AF14" s="38" t="s">
        <v>123</v>
      </c>
    </row>
    <row r="15" spans="1:32" ht="12" customHeight="1" x14ac:dyDescent="0.3">
      <c r="A15" s="38" t="s">
        <v>17</v>
      </c>
      <c r="B15" s="46">
        <v>0.58750000000000002</v>
      </c>
      <c r="C15" s="38">
        <v>1</v>
      </c>
      <c r="D15" s="38">
        <v>2</v>
      </c>
      <c r="E15" s="38">
        <v>3</v>
      </c>
      <c r="F15" s="38">
        <v>2</v>
      </c>
      <c r="G15" s="38">
        <v>3</v>
      </c>
      <c r="H15" s="38">
        <v>4</v>
      </c>
      <c r="I15" s="38">
        <v>3</v>
      </c>
      <c r="J15" s="38">
        <v>4</v>
      </c>
      <c r="K15" s="38">
        <v>4.5</v>
      </c>
      <c r="L15" s="38">
        <v>5</v>
      </c>
      <c r="M15" s="38">
        <v>3</v>
      </c>
      <c r="N15" s="38">
        <v>8</v>
      </c>
      <c r="O15" s="38">
        <v>6</v>
      </c>
      <c r="P15" s="38">
        <v>5</v>
      </c>
      <c r="Q15" s="38">
        <v>5</v>
      </c>
      <c r="R15" s="38">
        <v>6</v>
      </c>
      <c r="S15" s="38">
        <v>3</v>
      </c>
      <c r="T15" s="38" t="s">
        <v>72</v>
      </c>
      <c r="U15" s="38" t="s">
        <v>72</v>
      </c>
      <c r="V15" s="40">
        <f t="shared" si="0"/>
        <v>67.5</v>
      </c>
      <c r="W15" s="43">
        <f t="shared" si="1"/>
        <v>0.67500000000000004</v>
      </c>
      <c r="X15" s="38" t="s">
        <v>77</v>
      </c>
      <c r="Y15" s="42">
        <v>0.25</v>
      </c>
      <c r="Z15" s="42">
        <v>0.5</v>
      </c>
      <c r="AA15" s="42">
        <v>0.75</v>
      </c>
      <c r="AB15" s="43">
        <v>1</v>
      </c>
      <c r="AC15" s="47">
        <f t="shared" si="2"/>
        <v>-0.16249999999999998</v>
      </c>
      <c r="AD15" s="45">
        <f t="shared" si="3"/>
        <v>-0.41249999999999998</v>
      </c>
      <c r="AE15" s="38" t="s">
        <v>124</v>
      </c>
      <c r="AF15" s="38" t="s">
        <v>125</v>
      </c>
    </row>
    <row r="16" spans="1:32" ht="12" customHeight="1" x14ac:dyDescent="0.3">
      <c r="A16" s="38" t="s">
        <v>3</v>
      </c>
      <c r="B16" s="48">
        <v>0.6</v>
      </c>
      <c r="C16" s="38">
        <v>1</v>
      </c>
      <c r="D16" s="38">
        <v>4</v>
      </c>
      <c r="E16" s="38">
        <v>3</v>
      </c>
      <c r="F16" s="38">
        <v>2</v>
      </c>
      <c r="G16" s="38">
        <v>4</v>
      </c>
      <c r="H16" s="38">
        <v>4</v>
      </c>
      <c r="I16" s="38">
        <v>3</v>
      </c>
      <c r="J16" s="38">
        <v>4</v>
      </c>
      <c r="K16" s="38">
        <v>4</v>
      </c>
      <c r="L16" s="38">
        <v>4</v>
      </c>
      <c r="M16" s="38">
        <v>3</v>
      </c>
      <c r="N16" s="38">
        <v>8</v>
      </c>
      <c r="O16" s="38">
        <v>6</v>
      </c>
      <c r="P16" s="38">
        <v>5</v>
      </c>
      <c r="Q16" s="38">
        <v>5</v>
      </c>
      <c r="R16" s="38">
        <v>6</v>
      </c>
      <c r="S16" s="38">
        <v>3</v>
      </c>
      <c r="T16" s="38" t="s">
        <v>72</v>
      </c>
      <c r="U16" s="38" t="s">
        <v>72</v>
      </c>
      <c r="V16" s="40">
        <f t="shared" si="0"/>
        <v>69</v>
      </c>
      <c r="W16" s="43">
        <f t="shared" si="1"/>
        <v>0.69</v>
      </c>
      <c r="X16" s="38" t="s">
        <v>78</v>
      </c>
      <c r="Y16" s="42">
        <v>0.25</v>
      </c>
      <c r="Z16" s="42">
        <v>0.5</v>
      </c>
      <c r="AA16" s="42">
        <v>0.75</v>
      </c>
      <c r="AB16" s="43">
        <v>1</v>
      </c>
      <c r="AC16" s="47">
        <f t="shared" si="2"/>
        <v>-0.15000000000000002</v>
      </c>
      <c r="AD16" s="45">
        <f t="shared" si="3"/>
        <v>-0.4</v>
      </c>
      <c r="AE16" s="38" t="s">
        <v>126</v>
      </c>
      <c r="AF16" s="38" t="s">
        <v>127</v>
      </c>
    </row>
    <row r="17" spans="1:32" ht="12" customHeight="1" x14ac:dyDescent="0.3">
      <c r="A17" s="38" t="s">
        <v>10</v>
      </c>
      <c r="B17" s="48">
        <v>0.63290000000000002</v>
      </c>
      <c r="C17" s="38">
        <v>1</v>
      </c>
      <c r="D17" s="38">
        <v>3</v>
      </c>
      <c r="E17" s="38">
        <v>3</v>
      </c>
      <c r="F17" s="38">
        <v>2</v>
      </c>
      <c r="G17" s="38">
        <v>4</v>
      </c>
      <c r="H17" s="38">
        <v>4</v>
      </c>
      <c r="I17" s="38">
        <v>3</v>
      </c>
      <c r="J17" s="38">
        <v>4</v>
      </c>
      <c r="K17" s="38">
        <v>3.5</v>
      </c>
      <c r="L17" s="38">
        <v>6</v>
      </c>
      <c r="M17" s="38">
        <v>4</v>
      </c>
      <c r="N17" s="38">
        <v>8</v>
      </c>
      <c r="O17" s="38">
        <v>6</v>
      </c>
      <c r="P17" s="38">
        <v>7</v>
      </c>
      <c r="Q17" s="38">
        <v>5</v>
      </c>
      <c r="R17" s="38">
        <v>6</v>
      </c>
      <c r="S17" s="38">
        <v>4</v>
      </c>
      <c r="T17" s="38" t="s">
        <v>72</v>
      </c>
      <c r="U17" s="38" t="s">
        <v>72</v>
      </c>
      <c r="V17" s="40">
        <f t="shared" si="0"/>
        <v>73.5</v>
      </c>
      <c r="W17" s="43">
        <f t="shared" si="1"/>
        <v>0.73499999999999999</v>
      </c>
      <c r="X17" s="38" t="s">
        <v>78</v>
      </c>
      <c r="Y17" s="42">
        <v>0.25</v>
      </c>
      <c r="Z17" s="42">
        <v>0.5</v>
      </c>
      <c r="AA17" s="42">
        <v>0.75</v>
      </c>
      <c r="AB17" s="43">
        <v>1</v>
      </c>
      <c r="AC17" s="47">
        <f t="shared" si="2"/>
        <v>-0.11709999999999998</v>
      </c>
      <c r="AD17" s="42">
        <f t="shared" si="3"/>
        <v>-0.36709999999999998</v>
      </c>
      <c r="AE17" s="38" t="s">
        <v>128</v>
      </c>
      <c r="AF17" s="38" t="s">
        <v>129</v>
      </c>
    </row>
    <row r="18" spans="1:32" ht="12" customHeight="1" x14ac:dyDescent="0.3">
      <c r="A18" s="38" t="s">
        <v>8</v>
      </c>
      <c r="B18" s="48">
        <v>0.63639999999999997</v>
      </c>
      <c r="C18" s="38">
        <v>1</v>
      </c>
      <c r="D18" s="38">
        <v>4</v>
      </c>
      <c r="E18" s="38">
        <v>3</v>
      </c>
      <c r="F18" s="38">
        <v>2</v>
      </c>
      <c r="G18" s="38">
        <v>3</v>
      </c>
      <c r="H18" s="38">
        <v>4</v>
      </c>
      <c r="I18" s="38">
        <v>3</v>
      </c>
      <c r="J18" s="38">
        <v>4</v>
      </c>
      <c r="K18" s="38">
        <v>4</v>
      </c>
      <c r="L18" s="38">
        <v>6</v>
      </c>
      <c r="M18" s="38">
        <v>4</v>
      </c>
      <c r="N18" s="38">
        <v>8</v>
      </c>
      <c r="O18" s="38">
        <v>6</v>
      </c>
      <c r="P18" s="38">
        <v>6</v>
      </c>
      <c r="Q18" s="38">
        <v>5</v>
      </c>
      <c r="R18" s="38">
        <v>6</v>
      </c>
      <c r="S18" s="38">
        <v>4</v>
      </c>
      <c r="T18" s="38" t="s">
        <v>72</v>
      </c>
      <c r="U18" s="38" t="s">
        <v>72</v>
      </c>
      <c r="V18" s="40">
        <f t="shared" si="0"/>
        <v>73</v>
      </c>
      <c r="W18" s="43">
        <f t="shared" si="1"/>
        <v>0.73</v>
      </c>
      <c r="X18" s="38" t="s">
        <v>78</v>
      </c>
      <c r="Y18" s="42">
        <v>0.25</v>
      </c>
      <c r="Z18" s="42">
        <v>0.5</v>
      </c>
      <c r="AA18" s="42">
        <v>0.75</v>
      </c>
      <c r="AB18" s="43">
        <v>1</v>
      </c>
      <c r="AC18" s="47">
        <f t="shared" si="2"/>
        <v>-0.11360000000000003</v>
      </c>
      <c r="AD18" s="42">
        <f t="shared" si="3"/>
        <v>-0.36360000000000003</v>
      </c>
      <c r="AE18" s="38" t="s">
        <v>130</v>
      </c>
      <c r="AF18" s="38" t="s">
        <v>131</v>
      </c>
    </row>
    <row r="19" spans="1:32" ht="12" customHeight="1" x14ac:dyDescent="0.3">
      <c r="A19" s="38" t="s">
        <v>1</v>
      </c>
      <c r="B19" s="48">
        <v>0.80769999999999997</v>
      </c>
      <c r="C19" s="38">
        <v>1</v>
      </c>
      <c r="D19" s="38">
        <v>3</v>
      </c>
      <c r="E19" s="38">
        <v>3</v>
      </c>
      <c r="F19" s="38">
        <v>2</v>
      </c>
      <c r="G19" s="38">
        <v>3</v>
      </c>
      <c r="H19" s="38">
        <v>4</v>
      </c>
      <c r="I19" s="38">
        <v>3</v>
      </c>
      <c r="J19" s="38">
        <v>4</v>
      </c>
      <c r="K19" s="38">
        <v>3.5</v>
      </c>
      <c r="L19" s="38">
        <v>6</v>
      </c>
      <c r="M19" s="38">
        <v>4</v>
      </c>
      <c r="N19" s="38">
        <v>8</v>
      </c>
      <c r="O19" s="38">
        <v>6.5</v>
      </c>
      <c r="P19" s="38">
        <v>6</v>
      </c>
      <c r="Q19" s="38">
        <v>5</v>
      </c>
      <c r="R19" s="38">
        <v>6</v>
      </c>
      <c r="S19" s="38">
        <v>4</v>
      </c>
      <c r="T19" s="38" t="s">
        <v>72</v>
      </c>
      <c r="U19" s="38" t="s">
        <v>72</v>
      </c>
      <c r="V19" s="40">
        <f t="shared" si="0"/>
        <v>72</v>
      </c>
      <c r="W19" s="43">
        <f t="shared" si="1"/>
        <v>0.72</v>
      </c>
      <c r="X19" s="38" t="s">
        <v>78</v>
      </c>
      <c r="Y19" s="42">
        <v>0.25</v>
      </c>
      <c r="Z19" s="42">
        <v>0.5</v>
      </c>
      <c r="AA19" s="42">
        <v>0.75</v>
      </c>
      <c r="AB19" s="43">
        <v>1</v>
      </c>
      <c r="AC19" s="49">
        <f t="shared" si="2"/>
        <v>5.7699999999999974E-2</v>
      </c>
      <c r="AD19" s="42">
        <f t="shared" si="3"/>
        <v>-0.19230000000000003</v>
      </c>
      <c r="AE19" s="38" t="s">
        <v>132</v>
      </c>
      <c r="AF19" s="38" t="s">
        <v>133</v>
      </c>
    </row>
    <row r="20" spans="1:32" ht="12" customHeight="1" x14ac:dyDescent="0.3">
      <c r="A20" s="38" t="s">
        <v>7</v>
      </c>
      <c r="B20" s="48">
        <v>1.1364000000000001</v>
      </c>
      <c r="C20" s="38">
        <v>1</v>
      </c>
      <c r="D20" s="38">
        <v>4</v>
      </c>
      <c r="E20" s="38">
        <v>3</v>
      </c>
      <c r="F20" s="38">
        <v>2</v>
      </c>
      <c r="G20" s="38">
        <v>4</v>
      </c>
      <c r="H20" s="38">
        <v>4</v>
      </c>
      <c r="I20" s="38">
        <v>3</v>
      </c>
      <c r="J20" s="38">
        <v>4</v>
      </c>
      <c r="K20" s="38">
        <v>4</v>
      </c>
      <c r="L20" s="38">
        <v>7</v>
      </c>
      <c r="M20" s="38">
        <v>4</v>
      </c>
      <c r="N20" s="38">
        <v>8</v>
      </c>
      <c r="O20" s="38">
        <v>6</v>
      </c>
      <c r="P20" s="38">
        <v>6</v>
      </c>
      <c r="Q20" s="38">
        <v>5</v>
      </c>
      <c r="R20" s="38">
        <v>6</v>
      </c>
      <c r="S20" s="38">
        <v>4</v>
      </c>
      <c r="T20" s="38" t="s">
        <v>72</v>
      </c>
      <c r="U20" s="38" t="s">
        <v>72</v>
      </c>
      <c r="V20" s="40">
        <f t="shared" si="0"/>
        <v>75</v>
      </c>
      <c r="W20" s="43">
        <f t="shared" si="1"/>
        <v>0.75</v>
      </c>
      <c r="X20" s="38" t="s">
        <v>78</v>
      </c>
      <c r="Y20" s="42">
        <v>0.25</v>
      </c>
      <c r="Z20" s="42">
        <v>0.5</v>
      </c>
      <c r="AA20" s="42">
        <v>0.75</v>
      </c>
      <c r="AB20" s="43">
        <v>1</v>
      </c>
      <c r="AC20" s="49">
        <f t="shared" si="2"/>
        <v>0.38640000000000008</v>
      </c>
      <c r="AD20" s="42">
        <f t="shared" si="3"/>
        <v>0.13640000000000008</v>
      </c>
      <c r="AE20" s="38" t="s">
        <v>134</v>
      </c>
      <c r="AF20" s="38" t="s">
        <v>135</v>
      </c>
    </row>
    <row r="33" spans="1:2" x14ac:dyDescent="0.3">
      <c r="A33" t="s">
        <v>20</v>
      </c>
      <c r="B33" s="1">
        <v>0.55000000000000004</v>
      </c>
    </row>
    <row r="34" spans="1:2" x14ac:dyDescent="0.3">
      <c r="A34" t="s">
        <v>21</v>
      </c>
    </row>
  </sheetData>
  <autoFilter ref="A1:AM1" xr:uid="{B734B46E-DD75-4FC6-80AE-03358C0EDCBE}">
    <sortState xmlns:xlrd2="http://schemas.microsoft.com/office/spreadsheetml/2017/richdata2" ref="A2:AM24">
      <sortCondition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C1DA-E6F8-4853-965C-B752D61803F2}">
  <dimension ref="A1:X27"/>
  <sheetViews>
    <sheetView showGridLines="0" tabSelected="1" zoomScale="85" zoomScaleNormal="85" workbookViewId="0">
      <selection activeCell="F29" sqref="F29"/>
    </sheetView>
  </sheetViews>
  <sheetFormatPr baseColWidth="10" defaultRowHeight="14.4" x14ac:dyDescent="0.3"/>
  <cols>
    <col min="1" max="1" width="18.109375" bestFit="1" customWidth="1"/>
    <col min="2" max="2" width="16" customWidth="1"/>
    <col min="3" max="3" width="10.5546875" customWidth="1"/>
    <col min="4" max="4" width="18.88671875" customWidth="1"/>
    <col min="5" max="5" width="12.88671875" customWidth="1"/>
    <col min="6" max="6" width="28.33203125" customWidth="1"/>
    <col min="7" max="7" width="12.109375" customWidth="1"/>
    <col min="8" max="8" width="19.6640625" customWidth="1"/>
    <col min="9" max="9" width="46.44140625" customWidth="1"/>
    <col min="10" max="10" width="33.6640625" customWidth="1"/>
    <col min="11" max="16" width="24.6640625" customWidth="1"/>
    <col min="17" max="17" width="35.109375" customWidth="1"/>
    <col min="18" max="18" width="52.88671875" customWidth="1"/>
    <col min="19" max="19" width="36.33203125" customWidth="1"/>
    <col min="20" max="20" width="24.6640625" customWidth="1"/>
    <col min="21" max="21" width="32.44140625" customWidth="1"/>
    <col min="22" max="22" width="4.44140625" customWidth="1"/>
    <col min="23" max="23" width="7.44140625" style="80" bestFit="1" customWidth="1"/>
  </cols>
  <sheetData>
    <row r="1" spans="1:24" x14ac:dyDescent="0.3">
      <c r="A1" s="15" t="s">
        <v>22</v>
      </c>
      <c r="B1" s="15" t="s">
        <v>136</v>
      </c>
      <c r="C1" s="15" t="s">
        <v>29</v>
      </c>
      <c r="D1" s="15" t="s">
        <v>31</v>
      </c>
      <c r="E1" s="15" t="s">
        <v>32</v>
      </c>
      <c r="F1" s="15" t="s">
        <v>49</v>
      </c>
      <c r="G1" s="15" t="s">
        <v>34</v>
      </c>
      <c r="H1" s="15" t="s">
        <v>52</v>
      </c>
      <c r="I1" s="15" t="s">
        <v>53</v>
      </c>
      <c r="J1" s="15" t="s">
        <v>54</v>
      </c>
      <c r="K1" s="15" t="s">
        <v>36</v>
      </c>
      <c r="L1" s="15" t="s">
        <v>38</v>
      </c>
      <c r="M1" s="15" t="s">
        <v>39</v>
      </c>
      <c r="N1" s="15" t="s">
        <v>41</v>
      </c>
      <c r="O1" s="15" t="s">
        <v>46</v>
      </c>
      <c r="P1" s="15" t="s">
        <v>55</v>
      </c>
      <c r="Q1" s="15" t="s">
        <v>56</v>
      </c>
      <c r="R1" s="15" t="s">
        <v>57</v>
      </c>
      <c r="S1" s="15" t="s">
        <v>59</v>
      </c>
      <c r="T1" s="15" t="s">
        <v>60</v>
      </c>
      <c r="U1" s="15" t="s">
        <v>62</v>
      </c>
      <c r="V1" s="15" t="s">
        <v>20</v>
      </c>
      <c r="W1" s="15" t="s">
        <v>73</v>
      </c>
    </row>
    <row r="2" spans="1:24" x14ac:dyDescent="0.3">
      <c r="A2" s="38" t="s">
        <v>19</v>
      </c>
      <c r="B2" s="76">
        <v>46106</v>
      </c>
      <c r="C2" s="38">
        <v>1</v>
      </c>
      <c r="D2" s="38">
        <v>2</v>
      </c>
      <c r="E2" s="38">
        <v>2</v>
      </c>
      <c r="F2" s="38">
        <v>2</v>
      </c>
      <c r="G2" s="38">
        <v>2</v>
      </c>
      <c r="H2" s="38">
        <v>2</v>
      </c>
      <c r="I2" s="38">
        <v>2.5</v>
      </c>
      <c r="J2" s="38">
        <v>4</v>
      </c>
      <c r="K2" s="38">
        <v>2.5</v>
      </c>
      <c r="L2" s="38">
        <v>4</v>
      </c>
      <c r="M2" s="38">
        <v>2.5</v>
      </c>
      <c r="N2" s="38">
        <v>8</v>
      </c>
      <c r="O2" s="38">
        <v>4</v>
      </c>
      <c r="P2" s="38">
        <v>3</v>
      </c>
      <c r="Q2" s="38">
        <v>3</v>
      </c>
      <c r="R2" s="38">
        <v>4</v>
      </c>
      <c r="S2" s="38">
        <v>2.5</v>
      </c>
      <c r="T2" s="38" t="s">
        <v>72</v>
      </c>
      <c r="U2" s="38" t="s">
        <v>72</v>
      </c>
      <c r="V2" s="40">
        <f>+SUM(C2:S2)</f>
        <v>51</v>
      </c>
      <c r="W2" s="77">
        <f>+V2/100</f>
        <v>0.51</v>
      </c>
      <c r="X2" s="1"/>
    </row>
    <row r="3" spans="1:24" x14ac:dyDescent="0.3">
      <c r="A3" s="78" t="s">
        <v>19</v>
      </c>
      <c r="B3" s="76">
        <v>46107</v>
      </c>
      <c r="C3" s="38">
        <v>1</v>
      </c>
      <c r="D3" s="38">
        <v>2</v>
      </c>
      <c r="E3" s="38">
        <v>2</v>
      </c>
      <c r="F3" s="38">
        <v>2</v>
      </c>
      <c r="G3" s="38">
        <v>0</v>
      </c>
      <c r="H3" s="38">
        <v>0</v>
      </c>
      <c r="I3" s="38">
        <v>2.5</v>
      </c>
      <c r="J3" s="38">
        <v>4</v>
      </c>
      <c r="K3" s="38">
        <v>2.5</v>
      </c>
      <c r="L3" s="38">
        <v>4</v>
      </c>
      <c r="M3" s="38">
        <v>2.5</v>
      </c>
      <c r="N3" s="38">
        <v>8</v>
      </c>
      <c r="O3" s="38">
        <v>4</v>
      </c>
      <c r="P3" s="38">
        <v>3</v>
      </c>
      <c r="Q3" s="38">
        <v>3</v>
      </c>
      <c r="R3" s="38">
        <v>4</v>
      </c>
      <c r="S3" s="38">
        <v>2.5</v>
      </c>
      <c r="T3" s="38" t="s">
        <v>72</v>
      </c>
      <c r="U3" s="38" t="s">
        <v>72</v>
      </c>
      <c r="V3" s="40">
        <f t="shared" ref="V3:V22" si="0">+SUM(C3:S3)</f>
        <v>47</v>
      </c>
      <c r="W3" s="77">
        <f>+V3/100</f>
        <v>0.47</v>
      </c>
      <c r="X3" s="1"/>
    </row>
    <row r="4" spans="1:24" x14ac:dyDescent="0.3">
      <c r="A4" s="38" t="s">
        <v>11</v>
      </c>
      <c r="B4" s="76">
        <v>46106</v>
      </c>
      <c r="C4" s="38">
        <v>1</v>
      </c>
      <c r="D4" s="38">
        <v>3</v>
      </c>
      <c r="E4" s="38">
        <v>3</v>
      </c>
      <c r="F4" s="38">
        <v>2</v>
      </c>
      <c r="G4" s="38">
        <v>2</v>
      </c>
      <c r="H4" s="38">
        <v>3</v>
      </c>
      <c r="I4" s="38">
        <v>2</v>
      </c>
      <c r="J4" s="38">
        <v>4</v>
      </c>
      <c r="K4" s="38">
        <v>4</v>
      </c>
      <c r="L4" s="38">
        <v>5</v>
      </c>
      <c r="M4" s="38">
        <v>3</v>
      </c>
      <c r="N4" s="38">
        <v>8</v>
      </c>
      <c r="O4" s="38">
        <v>4</v>
      </c>
      <c r="P4" s="38">
        <v>4</v>
      </c>
      <c r="Q4" s="38">
        <v>3</v>
      </c>
      <c r="R4" s="38">
        <v>4</v>
      </c>
      <c r="S4" s="38">
        <v>3</v>
      </c>
      <c r="T4" s="38" t="s">
        <v>72</v>
      </c>
      <c r="U4" s="38" t="s">
        <v>72</v>
      </c>
      <c r="V4" s="40">
        <f t="shared" si="0"/>
        <v>58</v>
      </c>
      <c r="W4" s="77">
        <f t="shared" ref="W4:W22" si="1">+V4/100</f>
        <v>0.57999999999999996</v>
      </c>
    </row>
    <row r="5" spans="1:24" x14ac:dyDescent="0.3">
      <c r="A5" s="78" t="s">
        <v>11</v>
      </c>
      <c r="B5" s="76">
        <v>46107</v>
      </c>
      <c r="C5" s="38">
        <v>1</v>
      </c>
      <c r="D5" s="38">
        <v>3</v>
      </c>
      <c r="E5" s="38">
        <v>3</v>
      </c>
      <c r="F5" s="38">
        <v>2</v>
      </c>
      <c r="G5" s="38">
        <v>0</v>
      </c>
      <c r="H5" s="38">
        <v>0</v>
      </c>
      <c r="I5" s="38">
        <v>2</v>
      </c>
      <c r="J5" s="38">
        <v>4</v>
      </c>
      <c r="K5" s="38">
        <v>4</v>
      </c>
      <c r="L5" s="38">
        <v>5</v>
      </c>
      <c r="M5" s="38">
        <v>3</v>
      </c>
      <c r="N5" s="38">
        <v>8</v>
      </c>
      <c r="O5" s="38">
        <v>4</v>
      </c>
      <c r="P5" s="38">
        <v>4</v>
      </c>
      <c r="Q5" s="38">
        <v>3</v>
      </c>
      <c r="R5" s="38">
        <v>4</v>
      </c>
      <c r="S5" s="38">
        <v>3</v>
      </c>
      <c r="T5" s="38" t="s">
        <v>72</v>
      </c>
      <c r="U5" s="38" t="s">
        <v>72</v>
      </c>
      <c r="V5" s="40">
        <f t="shared" si="0"/>
        <v>53</v>
      </c>
      <c r="W5" s="77">
        <f t="shared" si="1"/>
        <v>0.53</v>
      </c>
    </row>
    <row r="6" spans="1:24" x14ac:dyDescent="0.3">
      <c r="A6" s="38" t="s">
        <v>16</v>
      </c>
      <c r="B6" s="76">
        <v>46106</v>
      </c>
      <c r="C6" s="38">
        <v>1</v>
      </c>
      <c r="D6" s="38">
        <v>2</v>
      </c>
      <c r="E6" s="38">
        <v>3</v>
      </c>
      <c r="F6" s="38">
        <v>2</v>
      </c>
      <c r="G6" s="38">
        <v>2</v>
      </c>
      <c r="H6" s="38">
        <v>2</v>
      </c>
      <c r="I6" s="38">
        <v>3</v>
      </c>
      <c r="J6" s="38">
        <v>4</v>
      </c>
      <c r="K6" s="38">
        <v>3</v>
      </c>
      <c r="L6" s="38">
        <v>4</v>
      </c>
      <c r="M6" s="38">
        <v>3.5</v>
      </c>
      <c r="N6" s="38">
        <v>8</v>
      </c>
      <c r="O6" s="38">
        <v>5</v>
      </c>
      <c r="P6" s="38">
        <v>5</v>
      </c>
      <c r="Q6" s="38">
        <v>4</v>
      </c>
      <c r="R6" s="38">
        <v>3.5</v>
      </c>
      <c r="S6" s="38">
        <v>2.5</v>
      </c>
      <c r="T6" s="38" t="s">
        <v>72</v>
      </c>
      <c r="U6" s="38" t="s">
        <v>72</v>
      </c>
      <c r="V6" s="40">
        <f t="shared" si="0"/>
        <v>57.5</v>
      </c>
      <c r="W6" s="77">
        <f t="shared" si="1"/>
        <v>0.57499999999999996</v>
      </c>
    </row>
    <row r="7" spans="1:24" x14ac:dyDescent="0.3">
      <c r="A7" s="38" t="s">
        <v>2</v>
      </c>
      <c r="B7" s="76">
        <v>46106</v>
      </c>
      <c r="C7" s="38">
        <v>1</v>
      </c>
      <c r="D7" s="38">
        <v>2</v>
      </c>
      <c r="E7" s="38">
        <v>3</v>
      </c>
      <c r="F7" s="38">
        <v>2</v>
      </c>
      <c r="G7" s="38">
        <v>2</v>
      </c>
      <c r="H7" s="38">
        <v>3</v>
      </c>
      <c r="I7" s="38">
        <v>2</v>
      </c>
      <c r="J7" s="38">
        <v>4</v>
      </c>
      <c r="K7" s="38">
        <v>3</v>
      </c>
      <c r="L7" s="38">
        <v>3</v>
      </c>
      <c r="M7" s="38">
        <v>3</v>
      </c>
      <c r="N7" s="38">
        <v>8</v>
      </c>
      <c r="O7" s="38">
        <v>5</v>
      </c>
      <c r="P7" s="38">
        <v>5</v>
      </c>
      <c r="Q7" s="38">
        <v>4</v>
      </c>
      <c r="R7" s="38">
        <v>4</v>
      </c>
      <c r="S7" s="38">
        <v>3</v>
      </c>
      <c r="T7" s="38" t="s">
        <v>72</v>
      </c>
      <c r="U7" s="38" t="s">
        <v>72</v>
      </c>
      <c r="V7" s="40">
        <f t="shared" si="0"/>
        <v>57</v>
      </c>
      <c r="W7" s="77">
        <f t="shared" si="1"/>
        <v>0.56999999999999995</v>
      </c>
    </row>
    <row r="8" spans="1:24" x14ac:dyDescent="0.3">
      <c r="A8" s="38" t="s">
        <v>15</v>
      </c>
      <c r="B8" s="76">
        <v>46106</v>
      </c>
      <c r="C8" s="38">
        <v>1</v>
      </c>
      <c r="D8" s="38">
        <v>2</v>
      </c>
      <c r="E8" s="38">
        <v>3</v>
      </c>
      <c r="F8" s="38">
        <v>2</v>
      </c>
      <c r="G8" s="38">
        <v>3</v>
      </c>
      <c r="H8" s="38">
        <v>3</v>
      </c>
      <c r="I8" s="38">
        <v>2</v>
      </c>
      <c r="J8" s="38">
        <v>4</v>
      </c>
      <c r="K8" s="38">
        <v>4</v>
      </c>
      <c r="L8" s="38">
        <v>4</v>
      </c>
      <c r="M8" s="38">
        <v>3</v>
      </c>
      <c r="N8" s="38">
        <v>8</v>
      </c>
      <c r="O8" s="38">
        <v>4.5</v>
      </c>
      <c r="P8" s="38">
        <v>5</v>
      </c>
      <c r="Q8" s="38">
        <v>3.5</v>
      </c>
      <c r="R8" s="38">
        <v>4.5</v>
      </c>
      <c r="S8" s="38">
        <v>3</v>
      </c>
      <c r="T8" s="38" t="s">
        <v>72</v>
      </c>
      <c r="U8" s="38" t="s">
        <v>72</v>
      </c>
      <c r="V8" s="40">
        <f t="shared" si="0"/>
        <v>59.5</v>
      </c>
      <c r="W8" s="77">
        <f t="shared" si="1"/>
        <v>0.59499999999999997</v>
      </c>
    </row>
    <row r="9" spans="1:24" x14ac:dyDescent="0.3">
      <c r="A9" s="38" t="s">
        <v>12</v>
      </c>
      <c r="B9" s="76">
        <v>46106</v>
      </c>
      <c r="C9" s="38">
        <v>1</v>
      </c>
      <c r="D9" s="38">
        <v>2</v>
      </c>
      <c r="E9" s="38">
        <v>3</v>
      </c>
      <c r="F9" s="38">
        <v>2</v>
      </c>
      <c r="G9" s="38">
        <v>2</v>
      </c>
      <c r="H9" s="38">
        <v>3</v>
      </c>
      <c r="I9" s="38">
        <v>2.5</v>
      </c>
      <c r="J9" s="38">
        <v>4</v>
      </c>
      <c r="K9" s="38">
        <v>2.5</v>
      </c>
      <c r="L9" s="38">
        <v>3</v>
      </c>
      <c r="M9" s="38">
        <v>3</v>
      </c>
      <c r="N9" s="38">
        <v>8</v>
      </c>
      <c r="O9" s="38">
        <v>4.5</v>
      </c>
      <c r="P9" s="38">
        <v>5</v>
      </c>
      <c r="Q9" s="38">
        <v>3.5</v>
      </c>
      <c r="R9" s="38">
        <v>4</v>
      </c>
      <c r="S9" s="38">
        <v>3.5</v>
      </c>
      <c r="T9" s="38" t="s">
        <v>72</v>
      </c>
      <c r="U9" s="38" t="s">
        <v>72</v>
      </c>
      <c r="V9" s="40">
        <f t="shared" si="0"/>
        <v>56.5</v>
      </c>
      <c r="W9" s="77">
        <f t="shared" si="1"/>
        <v>0.56499999999999995</v>
      </c>
    </row>
    <row r="10" spans="1:24" x14ac:dyDescent="0.3">
      <c r="A10" s="38" t="s">
        <v>6</v>
      </c>
      <c r="B10" s="76">
        <v>46106</v>
      </c>
      <c r="C10" s="38">
        <v>1</v>
      </c>
      <c r="D10" s="38">
        <v>3</v>
      </c>
      <c r="E10" s="38">
        <v>3</v>
      </c>
      <c r="F10" s="38">
        <v>2</v>
      </c>
      <c r="G10" s="38">
        <v>3</v>
      </c>
      <c r="H10" s="38">
        <v>3</v>
      </c>
      <c r="I10" s="38">
        <v>2.5</v>
      </c>
      <c r="J10" s="38">
        <v>4</v>
      </c>
      <c r="K10" s="38">
        <v>3</v>
      </c>
      <c r="L10" s="38">
        <v>4</v>
      </c>
      <c r="M10" s="38">
        <v>3</v>
      </c>
      <c r="N10" s="38">
        <v>8</v>
      </c>
      <c r="O10" s="38">
        <v>4.5</v>
      </c>
      <c r="P10" s="38">
        <v>5</v>
      </c>
      <c r="Q10" s="38">
        <v>3.5</v>
      </c>
      <c r="R10" s="38">
        <v>3.5</v>
      </c>
      <c r="S10" s="38">
        <v>3.5</v>
      </c>
      <c r="T10" s="38" t="s">
        <v>72</v>
      </c>
      <c r="U10" s="38" t="s">
        <v>72</v>
      </c>
      <c r="V10" s="40">
        <f t="shared" si="0"/>
        <v>59.5</v>
      </c>
      <c r="W10" s="77">
        <f t="shared" si="1"/>
        <v>0.59499999999999997</v>
      </c>
    </row>
    <row r="11" spans="1:24" x14ac:dyDescent="0.3">
      <c r="A11" s="38" t="s">
        <v>14</v>
      </c>
      <c r="B11" s="76">
        <v>46106</v>
      </c>
      <c r="C11" s="38">
        <v>1</v>
      </c>
      <c r="D11" s="38">
        <v>2.5</v>
      </c>
      <c r="E11" s="38">
        <v>2.5</v>
      </c>
      <c r="F11" s="38">
        <v>2</v>
      </c>
      <c r="G11" s="38">
        <v>2.5</v>
      </c>
      <c r="H11" s="38">
        <v>3</v>
      </c>
      <c r="I11" s="38">
        <v>2.5</v>
      </c>
      <c r="J11" s="38">
        <v>4</v>
      </c>
      <c r="K11" s="38">
        <v>2.5</v>
      </c>
      <c r="L11" s="38">
        <v>5</v>
      </c>
      <c r="M11" s="38">
        <v>3</v>
      </c>
      <c r="N11" s="38">
        <v>8</v>
      </c>
      <c r="O11" s="38">
        <v>6</v>
      </c>
      <c r="P11" s="38">
        <v>5</v>
      </c>
      <c r="Q11" s="38">
        <v>3.5</v>
      </c>
      <c r="R11" s="38">
        <v>3</v>
      </c>
      <c r="S11" s="38">
        <v>3</v>
      </c>
      <c r="T11" s="38" t="s">
        <v>72</v>
      </c>
      <c r="U11" s="38" t="s">
        <v>72</v>
      </c>
      <c r="V11" s="40">
        <f t="shared" si="0"/>
        <v>59</v>
      </c>
      <c r="W11" s="77">
        <f t="shared" si="1"/>
        <v>0.59</v>
      </c>
    </row>
    <row r="12" spans="1:24" x14ac:dyDescent="0.3">
      <c r="A12" s="38" t="s">
        <v>4</v>
      </c>
      <c r="B12" s="76">
        <v>46106</v>
      </c>
      <c r="C12" s="38">
        <v>1</v>
      </c>
      <c r="D12" s="38">
        <v>3</v>
      </c>
      <c r="E12" s="38">
        <v>3</v>
      </c>
      <c r="F12" s="38">
        <v>2</v>
      </c>
      <c r="G12" s="38">
        <v>3</v>
      </c>
      <c r="H12" s="38">
        <v>5</v>
      </c>
      <c r="I12" s="38">
        <v>3</v>
      </c>
      <c r="J12" s="38">
        <v>4</v>
      </c>
      <c r="K12" s="38">
        <v>4</v>
      </c>
      <c r="L12" s="38">
        <v>4</v>
      </c>
      <c r="M12" s="38">
        <v>4</v>
      </c>
      <c r="N12" s="38">
        <v>8</v>
      </c>
      <c r="O12" s="38">
        <v>6</v>
      </c>
      <c r="P12" s="38">
        <v>5</v>
      </c>
      <c r="Q12" s="38">
        <v>5</v>
      </c>
      <c r="R12" s="38">
        <v>6</v>
      </c>
      <c r="S12" s="38">
        <v>4</v>
      </c>
      <c r="T12" s="38" t="s">
        <v>72</v>
      </c>
      <c r="U12" s="38" t="s">
        <v>72</v>
      </c>
      <c r="V12" s="40">
        <f t="shared" si="0"/>
        <v>70</v>
      </c>
      <c r="W12" s="77">
        <f t="shared" si="1"/>
        <v>0.7</v>
      </c>
    </row>
    <row r="13" spans="1:24" x14ac:dyDescent="0.3">
      <c r="A13" s="38" t="s">
        <v>13</v>
      </c>
      <c r="B13" s="76">
        <v>46106</v>
      </c>
      <c r="C13" s="38">
        <v>1</v>
      </c>
      <c r="D13" s="38">
        <v>3</v>
      </c>
      <c r="E13" s="38">
        <v>3</v>
      </c>
      <c r="F13" s="38">
        <v>2</v>
      </c>
      <c r="G13" s="38">
        <v>3</v>
      </c>
      <c r="H13" s="38">
        <v>4.5</v>
      </c>
      <c r="I13" s="38">
        <v>3</v>
      </c>
      <c r="J13" s="38">
        <v>4</v>
      </c>
      <c r="K13" s="38">
        <v>4</v>
      </c>
      <c r="L13" s="38">
        <v>5</v>
      </c>
      <c r="M13" s="38">
        <v>4</v>
      </c>
      <c r="N13" s="38">
        <v>8</v>
      </c>
      <c r="O13" s="38">
        <v>6</v>
      </c>
      <c r="P13" s="38">
        <v>5</v>
      </c>
      <c r="Q13" s="38">
        <v>5</v>
      </c>
      <c r="R13" s="38">
        <v>6</v>
      </c>
      <c r="S13" s="38">
        <v>3</v>
      </c>
      <c r="T13" s="38" t="s">
        <v>72</v>
      </c>
      <c r="U13" s="38" t="s">
        <v>72</v>
      </c>
      <c r="V13" s="40">
        <f t="shared" si="0"/>
        <v>69.5</v>
      </c>
      <c r="W13" s="77">
        <f t="shared" si="1"/>
        <v>0.69499999999999995</v>
      </c>
    </row>
    <row r="14" spans="1:24" x14ac:dyDescent="0.3">
      <c r="A14" s="38" t="s">
        <v>9</v>
      </c>
      <c r="B14" s="76">
        <v>46106</v>
      </c>
      <c r="C14" s="38">
        <v>1</v>
      </c>
      <c r="D14" s="38">
        <v>3</v>
      </c>
      <c r="E14" s="38">
        <v>3</v>
      </c>
      <c r="F14" s="38">
        <v>2</v>
      </c>
      <c r="G14" s="38">
        <v>3</v>
      </c>
      <c r="H14" s="38">
        <v>3</v>
      </c>
      <c r="I14" s="38">
        <v>3</v>
      </c>
      <c r="J14" s="38">
        <v>4</v>
      </c>
      <c r="K14" s="38">
        <v>3</v>
      </c>
      <c r="L14" s="38">
        <v>5</v>
      </c>
      <c r="M14" s="38">
        <v>4</v>
      </c>
      <c r="N14" s="38">
        <v>8</v>
      </c>
      <c r="O14" s="38">
        <v>6</v>
      </c>
      <c r="P14" s="38">
        <v>5</v>
      </c>
      <c r="Q14" s="38">
        <v>5</v>
      </c>
      <c r="R14" s="38">
        <v>6</v>
      </c>
      <c r="S14" s="38">
        <v>4</v>
      </c>
      <c r="T14" s="38" t="s">
        <v>72</v>
      </c>
      <c r="U14" s="38" t="s">
        <v>72</v>
      </c>
      <c r="V14" s="40">
        <f t="shared" si="0"/>
        <v>68</v>
      </c>
      <c r="W14" s="77">
        <f t="shared" si="1"/>
        <v>0.68</v>
      </c>
    </row>
    <row r="15" spans="1:24" x14ac:dyDescent="0.3">
      <c r="A15" s="38" t="s">
        <v>5</v>
      </c>
      <c r="B15" s="76">
        <v>46106</v>
      </c>
      <c r="C15" s="38">
        <v>1</v>
      </c>
      <c r="D15" s="38">
        <v>3</v>
      </c>
      <c r="E15" s="38">
        <v>3</v>
      </c>
      <c r="F15" s="38">
        <v>2</v>
      </c>
      <c r="G15" s="38">
        <v>3.5</v>
      </c>
      <c r="H15" s="38">
        <v>4</v>
      </c>
      <c r="I15" s="38">
        <v>3.5</v>
      </c>
      <c r="J15" s="38">
        <v>4</v>
      </c>
      <c r="K15" s="38">
        <v>3.5</v>
      </c>
      <c r="L15" s="38">
        <v>5</v>
      </c>
      <c r="M15" s="38">
        <v>3</v>
      </c>
      <c r="N15" s="38">
        <v>8</v>
      </c>
      <c r="O15" s="38">
        <v>5</v>
      </c>
      <c r="P15" s="38">
        <v>5</v>
      </c>
      <c r="Q15" s="38">
        <v>5</v>
      </c>
      <c r="R15" s="38">
        <v>6</v>
      </c>
      <c r="S15" s="38">
        <v>3</v>
      </c>
      <c r="T15" s="38" t="s">
        <v>72</v>
      </c>
      <c r="U15" s="38" t="s">
        <v>72</v>
      </c>
      <c r="V15" s="40">
        <f t="shared" si="0"/>
        <v>67.5</v>
      </c>
      <c r="W15" s="77">
        <f t="shared" si="1"/>
        <v>0.67500000000000004</v>
      </c>
    </row>
    <row r="16" spans="1:24" x14ac:dyDescent="0.3">
      <c r="A16" s="38" t="s">
        <v>17</v>
      </c>
      <c r="B16" s="76">
        <v>46106</v>
      </c>
      <c r="C16" s="38">
        <v>1</v>
      </c>
      <c r="D16" s="38">
        <v>2</v>
      </c>
      <c r="E16" s="38">
        <v>3</v>
      </c>
      <c r="F16" s="38">
        <v>2</v>
      </c>
      <c r="G16" s="38">
        <v>3</v>
      </c>
      <c r="H16" s="38">
        <v>4</v>
      </c>
      <c r="I16" s="38">
        <v>3</v>
      </c>
      <c r="J16" s="38">
        <v>4</v>
      </c>
      <c r="K16" s="38">
        <v>4.5</v>
      </c>
      <c r="L16" s="38">
        <v>5</v>
      </c>
      <c r="M16" s="38">
        <v>3</v>
      </c>
      <c r="N16" s="38">
        <v>8</v>
      </c>
      <c r="O16" s="38">
        <v>6</v>
      </c>
      <c r="P16" s="38">
        <v>5</v>
      </c>
      <c r="Q16" s="38">
        <v>5</v>
      </c>
      <c r="R16" s="38">
        <v>6</v>
      </c>
      <c r="S16" s="38">
        <v>3</v>
      </c>
      <c r="T16" s="38" t="s">
        <v>72</v>
      </c>
      <c r="U16" s="38" t="s">
        <v>72</v>
      </c>
      <c r="V16" s="40">
        <f t="shared" si="0"/>
        <v>67.5</v>
      </c>
      <c r="W16" s="77">
        <f t="shared" si="1"/>
        <v>0.67500000000000004</v>
      </c>
    </row>
    <row r="17" spans="1:23" x14ac:dyDescent="0.3">
      <c r="A17" s="38" t="s">
        <v>3</v>
      </c>
      <c r="B17" s="76">
        <v>46106</v>
      </c>
      <c r="C17" s="38">
        <v>1</v>
      </c>
      <c r="D17" s="38">
        <v>4</v>
      </c>
      <c r="E17" s="38">
        <v>3</v>
      </c>
      <c r="F17" s="38">
        <v>2</v>
      </c>
      <c r="G17" s="38">
        <v>4</v>
      </c>
      <c r="H17" s="38">
        <v>4</v>
      </c>
      <c r="I17" s="38">
        <v>3</v>
      </c>
      <c r="J17" s="38">
        <v>4</v>
      </c>
      <c r="K17" s="38">
        <v>4</v>
      </c>
      <c r="L17" s="38">
        <v>4</v>
      </c>
      <c r="M17" s="38">
        <v>3</v>
      </c>
      <c r="N17" s="38">
        <v>8</v>
      </c>
      <c r="O17" s="38">
        <v>6</v>
      </c>
      <c r="P17" s="38">
        <v>5</v>
      </c>
      <c r="Q17" s="38">
        <v>5</v>
      </c>
      <c r="R17" s="38">
        <v>6</v>
      </c>
      <c r="S17" s="38">
        <v>3</v>
      </c>
      <c r="T17" s="38" t="s">
        <v>72</v>
      </c>
      <c r="U17" s="38" t="s">
        <v>72</v>
      </c>
      <c r="V17" s="40">
        <f t="shared" si="0"/>
        <v>69</v>
      </c>
      <c r="W17" s="77">
        <f t="shared" si="1"/>
        <v>0.69</v>
      </c>
    </row>
    <row r="18" spans="1:23" x14ac:dyDescent="0.3">
      <c r="A18" s="38" t="s">
        <v>10</v>
      </c>
      <c r="B18" s="76">
        <v>46106</v>
      </c>
      <c r="C18" s="38">
        <v>1</v>
      </c>
      <c r="D18" s="38">
        <v>3</v>
      </c>
      <c r="E18" s="38">
        <v>3</v>
      </c>
      <c r="F18" s="38">
        <v>2</v>
      </c>
      <c r="G18" s="38">
        <v>4</v>
      </c>
      <c r="H18" s="38">
        <v>4</v>
      </c>
      <c r="I18" s="38">
        <v>3</v>
      </c>
      <c r="J18" s="38">
        <v>4</v>
      </c>
      <c r="K18" s="38">
        <v>3.5</v>
      </c>
      <c r="L18" s="38">
        <v>6</v>
      </c>
      <c r="M18" s="38">
        <v>4</v>
      </c>
      <c r="N18" s="38">
        <v>8</v>
      </c>
      <c r="O18" s="38">
        <v>6</v>
      </c>
      <c r="P18" s="38">
        <v>7</v>
      </c>
      <c r="Q18" s="38">
        <v>5</v>
      </c>
      <c r="R18" s="38">
        <v>6</v>
      </c>
      <c r="S18" s="38">
        <v>4</v>
      </c>
      <c r="T18" s="38" t="s">
        <v>72</v>
      </c>
      <c r="U18" s="38" t="s">
        <v>72</v>
      </c>
      <c r="V18" s="40">
        <f t="shared" si="0"/>
        <v>73.5</v>
      </c>
      <c r="W18" s="77">
        <f t="shared" si="1"/>
        <v>0.73499999999999999</v>
      </c>
    </row>
    <row r="19" spans="1:23" x14ac:dyDescent="0.3">
      <c r="A19" s="38" t="s">
        <v>8</v>
      </c>
      <c r="B19" s="76">
        <v>46106</v>
      </c>
      <c r="C19" s="38">
        <v>1</v>
      </c>
      <c r="D19" s="38">
        <v>4</v>
      </c>
      <c r="E19" s="38">
        <v>3</v>
      </c>
      <c r="F19" s="38">
        <v>2</v>
      </c>
      <c r="G19" s="38">
        <v>3</v>
      </c>
      <c r="H19" s="38">
        <v>4</v>
      </c>
      <c r="I19" s="38">
        <v>3</v>
      </c>
      <c r="J19" s="38">
        <v>4</v>
      </c>
      <c r="K19" s="38">
        <v>4</v>
      </c>
      <c r="L19" s="38">
        <v>6</v>
      </c>
      <c r="M19" s="38">
        <v>4</v>
      </c>
      <c r="N19" s="38">
        <v>8</v>
      </c>
      <c r="O19" s="38">
        <v>6</v>
      </c>
      <c r="P19" s="38">
        <v>6</v>
      </c>
      <c r="Q19" s="38">
        <v>5</v>
      </c>
      <c r="R19" s="38">
        <v>6</v>
      </c>
      <c r="S19" s="38">
        <v>4</v>
      </c>
      <c r="T19" s="38" t="s">
        <v>72</v>
      </c>
      <c r="U19" s="38" t="s">
        <v>72</v>
      </c>
      <c r="V19" s="40">
        <f t="shared" si="0"/>
        <v>73</v>
      </c>
      <c r="W19" s="77">
        <f t="shared" si="1"/>
        <v>0.73</v>
      </c>
    </row>
    <row r="20" spans="1:23" x14ac:dyDescent="0.3">
      <c r="A20" s="38" t="s">
        <v>1</v>
      </c>
      <c r="B20" s="76">
        <v>46106</v>
      </c>
      <c r="C20" s="38">
        <v>1</v>
      </c>
      <c r="D20" s="38">
        <v>3</v>
      </c>
      <c r="E20" s="38">
        <v>3</v>
      </c>
      <c r="F20" s="38">
        <v>2</v>
      </c>
      <c r="G20" s="38">
        <v>3</v>
      </c>
      <c r="H20" s="38">
        <v>4</v>
      </c>
      <c r="I20" s="38">
        <v>3</v>
      </c>
      <c r="J20" s="38">
        <v>4</v>
      </c>
      <c r="K20" s="38">
        <v>3.5</v>
      </c>
      <c r="L20" s="38">
        <v>6</v>
      </c>
      <c r="M20" s="38">
        <v>4</v>
      </c>
      <c r="N20" s="38">
        <v>8</v>
      </c>
      <c r="O20" s="38">
        <v>6.5</v>
      </c>
      <c r="P20" s="38">
        <v>6</v>
      </c>
      <c r="Q20" s="38">
        <v>5</v>
      </c>
      <c r="R20" s="38">
        <v>6</v>
      </c>
      <c r="S20" s="38">
        <v>4</v>
      </c>
      <c r="T20" s="38" t="s">
        <v>72</v>
      </c>
      <c r="U20" s="38" t="s">
        <v>72</v>
      </c>
      <c r="V20" s="40">
        <f t="shared" si="0"/>
        <v>72</v>
      </c>
      <c r="W20" s="77">
        <f t="shared" si="1"/>
        <v>0.72</v>
      </c>
    </row>
    <row r="21" spans="1:23" x14ac:dyDescent="0.3">
      <c r="A21" s="38" t="s">
        <v>7</v>
      </c>
      <c r="B21" s="76">
        <v>46106</v>
      </c>
      <c r="C21" s="38">
        <v>1</v>
      </c>
      <c r="D21" s="38">
        <v>4</v>
      </c>
      <c r="E21" s="38">
        <v>3</v>
      </c>
      <c r="F21" s="38">
        <v>2</v>
      </c>
      <c r="G21" s="38">
        <v>4</v>
      </c>
      <c r="H21" s="38">
        <v>4</v>
      </c>
      <c r="I21" s="38">
        <v>3</v>
      </c>
      <c r="J21" s="38">
        <v>4</v>
      </c>
      <c r="K21" s="38">
        <v>4</v>
      </c>
      <c r="L21" s="38">
        <v>7</v>
      </c>
      <c r="M21" s="38">
        <v>4</v>
      </c>
      <c r="N21" s="38">
        <v>8</v>
      </c>
      <c r="O21" s="38">
        <v>6</v>
      </c>
      <c r="P21" s="38">
        <v>6</v>
      </c>
      <c r="Q21" s="38">
        <v>5</v>
      </c>
      <c r="R21" s="38">
        <v>6</v>
      </c>
      <c r="S21" s="38">
        <v>4</v>
      </c>
      <c r="T21" s="38" t="s">
        <v>72</v>
      </c>
      <c r="U21" s="38" t="s">
        <v>72</v>
      </c>
      <c r="V21" s="40">
        <f t="shared" si="0"/>
        <v>75</v>
      </c>
      <c r="W21" s="77">
        <f t="shared" si="1"/>
        <v>0.75</v>
      </c>
    </row>
    <row r="22" spans="1:23" ht="12" customHeight="1" x14ac:dyDescent="0.3">
      <c r="A22" s="38" t="s">
        <v>18</v>
      </c>
      <c r="B22" s="76">
        <v>46106</v>
      </c>
      <c r="C22" s="38">
        <v>1</v>
      </c>
      <c r="D22" s="38">
        <v>2</v>
      </c>
      <c r="E22" s="38">
        <v>3</v>
      </c>
      <c r="F22" s="38">
        <v>2</v>
      </c>
      <c r="G22" s="38">
        <v>2</v>
      </c>
      <c r="H22" s="38">
        <v>3</v>
      </c>
      <c r="I22" s="38">
        <v>2</v>
      </c>
      <c r="J22" s="38">
        <v>4</v>
      </c>
      <c r="K22" s="38">
        <v>3</v>
      </c>
      <c r="L22" s="38">
        <v>4</v>
      </c>
      <c r="M22" s="38">
        <v>3</v>
      </c>
      <c r="N22" s="38">
        <v>8</v>
      </c>
      <c r="O22" s="38">
        <v>5</v>
      </c>
      <c r="P22" s="38">
        <v>5</v>
      </c>
      <c r="Q22" s="38">
        <v>4</v>
      </c>
      <c r="R22" s="38">
        <v>4</v>
      </c>
      <c r="S22" s="38">
        <v>3</v>
      </c>
      <c r="T22" s="38" t="s">
        <v>72</v>
      </c>
      <c r="U22" s="38" t="s">
        <v>72</v>
      </c>
      <c r="V22" s="40">
        <f t="shared" si="0"/>
        <v>58</v>
      </c>
      <c r="W22" s="77">
        <f t="shared" si="1"/>
        <v>0.57999999999999996</v>
      </c>
    </row>
    <row r="27" spans="1:23" x14ac:dyDescent="0.3">
      <c r="B27" s="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Metricas</vt:lpstr>
      <vt:lpstr>Data</vt:lpstr>
      <vt:lpstr>Couching</vt:lpstr>
      <vt:lpstr>Progreso_Fecha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 Mariscal Almeyda</dc:creator>
  <cp:lastModifiedBy>Alexander  Mariscal Almeyda</cp:lastModifiedBy>
  <dcterms:created xsi:type="dcterms:W3CDTF">2026-03-26T14:42:59Z</dcterms:created>
  <dcterms:modified xsi:type="dcterms:W3CDTF">2026-03-28T14:49:23Z</dcterms:modified>
</cp:coreProperties>
</file>